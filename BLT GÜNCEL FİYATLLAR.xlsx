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C9AC317-9D7A-4D60-B2A1-60E79D0AB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" i="1" l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68" i="1"/>
  <c r="H169" i="1"/>
  <c r="H170" i="1"/>
  <c r="H171" i="1"/>
  <c r="H172" i="1"/>
  <c r="H173" i="1"/>
  <c r="H174" i="1"/>
  <c r="H162" i="1"/>
  <c r="H163" i="1"/>
  <c r="H164" i="1"/>
  <c r="H165" i="1"/>
  <c r="H166" i="1"/>
  <c r="H167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7" i="1"/>
  <c r="H18" i="1"/>
  <c r="H19" i="1"/>
  <c r="H20" i="1"/>
  <c r="H21" i="1"/>
  <c r="H28" i="1"/>
  <c r="H29" i="1"/>
  <c r="H30" i="1"/>
  <c r="H31" i="1"/>
  <c r="H32" i="1"/>
  <c r="H33" i="1"/>
  <c r="H38" i="1"/>
  <c r="H39" i="1"/>
  <c r="H40" i="1"/>
  <c r="H49" i="1"/>
  <c r="H50" i="1"/>
  <c r="H51" i="1"/>
  <c r="H53" i="1"/>
  <c r="H56" i="1"/>
  <c r="H57" i="1"/>
  <c r="H63" i="1"/>
  <c r="H65" i="1"/>
  <c r="H66" i="1"/>
  <c r="H68" i="1"/>
  <c r="H69" i="1"/>
  <c r="H76" i="1"/>
  <c r="H77" i="1"/>
  <c r="H78" i="1"/>
  <c r="H79" i="1"/>
  <c r="H80" i="1"/>
  <c r="F87" i="1"/>
  <c r="H87" i="1" s="1"/>
  <c r="F86" i="1"/>
  <c r="H86" i="1" s="1"/>
  <c r="F85" i="1"/>
  <c r="H85" i="1" s="1"/>
  <c r="F84" i="1"/>
  <c r="H84" i="1" s="1"/>
  <c r="F83" i="1"/>
  <c r="H83" i="1" s="1"/>
  <c r="F82" i="1"/>
  <c r="G82" i="1" s="1"/>
  <c r="F81" i="1"/>
  <c r="G81" i="1" s="1"/>
  <c r="F80" i="1"/>
  <c r="G80" i="1" s="1"/>
  <c r="F79" i="1"/>
  <c r="G79" i="1" s="1"/>
  <c r="F78" i="1"/>
  <c r="F77" i="1"/>
  <c r="G77" i="1" s="1"/>
  <c r="F76" i="1"/>
  <c r="G76" i="1" s="1"/>
  <c r="F75" i="1"/>
  <c r="G75" i="1" s="1"/>
  <c r="F74" i="1"/>
  <c r="H74" i="1" s="1"/>
  <c r="F73" i="1"/>
  <c r="G73" i="1" s="1"/>
  <c r="F72" i="1"/>
  <c r="G72" i="1" s="1"/>
  <c r="G71" i="1"/>
  <c r="F71" i="1"/>
  <c r="H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G63" i="1"/>
  <c r="F63" i="1"/>
  <c r="F62" i="1"/>
  <c r="H62" i="1" s="1"/>
  <c r="F61" i="1"/>
  <c r="G61" i="1" s="1"/>
  <c r="F60" i="1"/>
  <c r="H60" i="1" s="1"/>
  <c r="F59" i="1"/>
  <c r="H59" i="1" s="1"/>
  <c r="F58" i="1"/>
  <c r="G58" i="1" s="1"/>
  <c r="F57" i="1"/>
  <c r="G57" i="1" s="1"/>
  <c r="F56" i="1"/>
  <c r="F55" i="1"/>
  <c r="G55" i="1" s="1"/>
  <c r="F54" i="1"/>
  <c r="H54" i="1" s="1"/>
  <c r="F53" i="1"/>
  <c r="G53" i="1" s="1"/>
  <c r="F52" i="1"/>
  <c r="H52" i="1" s="1"/>
  <c r="G51" i="1"/>
  <c r="F51" i="1"/>
  <c r="F50" i="1"/>
  <c r="G50" i="1" s="1"/>
  <c r="F49" i="1"/>
  <c r="G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F42" i="1"/>
  <c r="H42" i="1" s="1"/>
  <c r="F41" i="1"/>
  <c r="H41" i="1" s="1"/>
  <c r="F40" i="1"/>
  <c r="F39" i="1"/>
  <c r="F38" i="1"/>
  <c r="F37" i="1"/>
  <c r="G37" i="1" s="1"/>
  <c r="F36" i="1"/>
  <c r="G36" i="1" s="1"/>
  <c r="F35" i="1"/>
  <c r="H35" i="1" s="1"/>
  <c r="F34" i="1"/>
  <c r="H34" i="1" s="1"/>
  <c r="F33" i="1"/>
  <c r="J32" i="1"/>
  <c r="F32" i="1"/>
  <c r="G32" i="1" s="1"/>
  <c r="F31" i="1"/>
  <c r="F30" i="1"/>
  <c r="F29" i="1"/>
  <c r="F28" i="1"/>
  <c r="F27" i="1"/>
  <c r="G27" i="1" s="1"/>
  <c r="F26" i="1"/>
  <c r="H26" i="1" s="1"/>
  <c r="F25" i="1"/>
  <c r="H25" i="1" s="1"/>
  <c r="G24" i="1"/>
  <c r="F24" i="1"/>
  <c r="H24" i="1" s="1"/>
  <c r="J24" i="1" s="1"/>
  <c r="F23" i="1"/>
  <c r="H23" i="1" s="1"/>
  <c r="F22" i="1"/>
  <c r="G22" i="1" s="1"/>
  <c r="F21" i="1"/>
  <c r="G21" i="1" s="1"/>
  <c r="F20" i="1"/>
  <c r="F19" i="1"/>
  <c r="F18" i="1"/>
  <c r="F17" i="1"/>
  <c r="F16" i="1"/>
  <c r="H16" i="1" s="1"/>
  <c r="F15" i="1"/>
  <c r="H15" i="1" s="1"/>
  <c r="F14" i="1"/>
  <c r="H14" i="1" s="1"/>
  <c r="F13" i="1"/>
  <c r="F12" i="1"/>
  <c r="H12" i="1" s="1"/>
  <c r="F11" i="1"/>
  <c r="G11" i="1" s="1"/>
  <c r="F10" i="1"/>
  <c r="H10" i="1" s="1"/>
  <c r="J10" i="1" s="1"/>
  <c r="H67" i="1" l="1"/>
  <c r="H55" i="1"/>
  <c r="H43" i="1"/>
  <c r="J43" i="1" s="1"/>
  <c r="H27" i="1"/>
  <c r="G14" i="1"/>
  <c r="J16" i="1"/>
  <c r="G47" i="1"/>
  <c r="H73" i="1"/>
  <c r="H61" i="1"/>
  <c r="H37" i="1"/>
  <c r="J37" i="1" s="1"/>
  <c r="H13" i="1"/>
  <c r="J13" i="1" s="1"/>
  <c r="J42" i="1"/>
  <c r="G35" i="1"/>
  <c r="H64" i="1"/>
  <c r="H75" i="1"/>
  <c r="H72" i="1"/>
  <c r="H36" i="1"/>
  <c r="G10" i="1"/>
  <c r="J39" i="1"/>
  <c r="G59" i="1"/>
  <c r="H11" i="1"/>
  <c r="J11" i="1" s="1"/>
  <c r="J31" i="1"/>
  <c r="J40" i="1"/>
  <c r="H82" i="1"/>
  <c r="H70" i="1"/>
  <c r="H58" i="1"/>
  <c r="H22" i="1"/>
  <c r="J41" i="1"/>
  <c r="H81" i="1"/>
  <c r="J44" i="1"/>
  <c r="J45" i="1"/>
  <c r="J19" i="1"/>
  <c r="G54" i="1"/>
  <c r="G74" i="1"/>
  <c r="G15" i="1"/>
  <c r="G33" i="1"/>
  <c r="G19" i="1"/>
  <c r="G26" i="1"/>
  <c r="G30" i="1"/>
  <c r="G40" i="1"/>
  <c r="J22" i="1"/>
  <c r="G62" i="1"/>
  <c r="G23" i="1"/>
  <c r="G41" i="1"/>
  <c r="G44" i="1"/>
  <c r="G25" i="1"/>
  <c r="G16" i="1"/>
  <c r="G34" i="1"/>
  <c r="G31" i="1"/>
  <c r="G38" i="1"/>
  <c r="G13" i="1"/>
  <c r="G20" i="1"/>
  <c r="G48" i="1"/>
  <c r="G52" i="1"/>
  <c r="G56" i="1"/>
  <c r="G60" i="1"/>
  <c r="G18" i="1"/>
  <c r="G46" i="1"/>
  <c r="G78" i="1"/>
  <c r="G12" i="1"/>
  <c r="G17" i="1"/>
  <c r="G39" i="1"/>
  <c r="G42" i="1"/>
  <c r="G45" i="1"/>
  <c r="G29" i="1"/>
  <c r="G43" i="1"/>
  <c r="G28" i="1"/>
</calcChain>
</file>

<file path=xl/sharedStrings.xml><?xml version="1.0" encoding="utf-8"?>
<sst xmlns="http://schemas.openxmlformats.org/spreadsheetml/2006/main" count="307" uniqueCount="202">
  <si>
    <t>SIRA</t>
  </si>
  <si>
    <t>KOD</t>
  </si>
  <si>
    <t xml:space="preserve">GENEL GİDERLER </t>
  </si>
  <si>
    <t xml:space="preserve">KÖPÜK NOZULLAR SUYA BAĞIMLI </t>
  </si>
  <si>
    <t>746 P</t>
  </si>
  <si>
    <t>1 ½”</t>
  </si>
  <si>
    <t>Bronz Köpük Nozul</t>
  </si>
  <si>
    <t>Paslanmaz Köpük Nozul</t>
  </si>
  <si>
    <t>747 P</t>
  </si>
  <si>
    <t xml:space="preserve">2” </t>
  </si>
  <si>
    <t>50 T</t>
  </si>
  <si>
    <t>1”</t>
  </si>
  <si>
    <t>Kaskat Köpük Nozul - Paslanmaz</t>
  </si>
  <si>
    <t>Kaskat Köpük Nozul - Bronz</t>
  </si>
  <si>
    <t>70 T</t>
  </si>
  <si>
    <t>Kaskat Köpük Nozul - Alüminyum</t>
  </si>
  <si>
    <t>90 T</t>
  </si>
  <si>
    <t>2”</t>
  </si>
  <si>
    <t>110 T</t>
  </si>
  <si>
    <t>2 ½”</t>
  </si>
  <si>
    <t>130 T</t>
  </si>
  <si>
    <t>3”</t>
  </si>
  <si>
    <t>20 G</t>
  </si>
  <si>
    <t>Gayzer Köpük Nozul - Bronz</t>
  </si>
  <si>
    <t>40 G</t>
  </si>
  <si>
    <t>60 G</t>
  </si>
  <si>
    <t>80 G</t>
  </si>
  <si>
    <t>100 G</t>
  </si>
  <si>
    <t>KÖPÜK NOZULLAR SUYA BAĞIMSIZ</t>
  </si>
  <si>
    <t>35-10 E</t>
  </si>
  <si>
    <t>Suya Bağımsız Köpük Nozul-Paslanmaz</t>
  </si>
  <si>
    <t>55-15 E</t>
  </si>
  <si>
    <t>JET NOZULLAR</t>
  </si>
  <si>
    <t>3-4 T</t>
  </si>
  <si>
    <t>½“</t>
  </si>
  <si>
    <t>Suya Bağımsız Su Jeti Nozulu</t>
  </si>
  <si>
    <t>3-5 T</t>
  </si>
  <si>
    <t>3-6 T</t>
  </si>
  <si>
    <t>5-8 T</t>
  </si>
  <si>
    <t>5-10 T</t>
  </si>
  <si>
    <t>10-9 T</t>
  </si>
  <si>
    <t>10-12 T</t>
  </si>
  <si>
    <t>10-14 T</t>
  </si>
  <si>
    <t>15-17 T</t>
  </si>
  <si>
    <t>15-20 T</t>
  </si>
  <si>
    <t>15/20</t>
  </si>
  <si>
    <t>Hallow Jet Nozul</t>
  </si>
  <si>
    <t>25/30</t>
  </si>
  <si>
    <t>İTHAL JET NOZUL</t>
  </si>
  <si>
    <t>¾ ‘’</t>
  </si>
  <si>
    <t>Jet Nozul</t>
  </si>
  <si>
    <t>1’’</t>
  </si>
  <si>
    <t>1 ½ ‘’</t>
  </si>
  <si>
    <t>LAVA NOZULLAR</t>
  </si>
  <si>
    <t>25-5 E</t>
  </si>
  <si>
    <t>½”</t>
  </si>
  <si>
    <t>Paslanmaz Su Seviyesinden Bağımsız Lava Nozul</t>
  </si>
  <si>
    <t>30-10 E</t>
  </si>
  <si>
    <t>45-10 E</t>
  </si>
  <si>
    <t>60-10 E</t>
  </si>
  <si>
    <t>100-15 E</t>
  </si>
  <si>
    <t>DÖNER NOZULLAR</t>
  </si>
  <si>
    <t>Döner Helozon Paslanmaz 5/10</t>
  </si>
  <si>
    <t>Yan Çark Bronz 5+2</t>
  </si>
  <si>
    <t>2’’</t>
  </si>
  <si>
    <t>Döner Helozon Paslanmaz 5/12</t>
  </si>
  <si>
    <t>VOLKAN NOZULLAR</t>
  </si>
  <si>
    <t>19-8 P</t>
  </si>
  <si>
    <t xml:space="preserve">Volkan Nozul Paslanmaz </t>
  </si>
  <si>
    <t>KÜRE FISKİYELER</t>
  </si>
  <si>
    <t>900/25</t>
  </si>
  <si>
    <t>Yarım Su Küresi (6ad. RGB lamba,pano,pompa komple)</t>
  </si>
  <si>
    <t>900/37</t>
  </si>
  <si>
    <t>Tam Su Küresi (6ad. RGB lamba,pano,pompa komple)</t>
  </si>
  <si>
    <t>1200/49</t>
  </si>
  <si>
    <t>1200/79</t>
  </si>
  <si>
    <t>1500/73</t>
  </si>
  <si>
    <t>1500/127</t>
  </si>
  <si>
    <t>2500/73</t>
  </si>
  <si>
    <t>Yarım Su Küresi (10 adet RGB lamba,pano,pompa komple)</t>
  </si>
  <si>
    <t>2500/127</t>
  </si>
  <si>
    <t>Tam Su Küresi (10 adet RGB lamba,pano,pompa komple)</t>
  </si>
  <si>
    <t>3500/210</t>
  </si>
  <si>
    <t>Yarım Su Küresi (27 adet RGB lamba,pano,pompa komple)</t>
  </si>
  <si>
    <t>3500/380</t>
  </si>
  <si>
    <t>Tam Su Küresi (27 adet RGB lamba,pano,pompa komple)</t>
  </si>
  <si>
    <t>6000/248</t>
  </si>
  <si>
    <t>6000/450</t>
  </si>
  <si>
    <t>Tam Su Küresi (27adet  RGB lamba,pano,pompa komple)</t>
  </si>
  <si>
    <t>AYDINLATMALAR</t>
  </si>
  <si>
    <t>3W</t>
  </si>
  <si>
    <t>RGB Power Ledli Paslanmaz Gövdeli Su Altı Aydınlatması</t>
  </si>
  <si>
    <t>6W</t>
  </si>
  <si>
    <t>6w</t>
  </si>
  <si>
    <t>YENİ LED</t>
  </si>
  <si>
    <t xml:space="preserve">9 W  (9X1) </t>
  </si>
  <si>
    <t>RGB Power Ledli Paslanmaz Gövdeli Su Altı Aydınlatması (SİMİT LAMBA)</t>
  </si>
  <si>
    <t xml:space="preserve">9 W  (3X3) </t>
  </si>
  <si>
    <t xml:space="preserve">RGB Power Ledli Paslanmaz Gövdeli Su Altı Aydınlatması </t>
  </si>
  <si>
    <t>Çok Ledli Paslanmaz Gövdeli Su Altı Aydınlatması</t>
  </si>
  <si>
    <t>18 W  (6 X3)</t>
  </si>
  <si>
    <t xml:space="preserve"> 27 W   (3 X9)</t>
  </si>
  <si>
    <t>36 W   (3 X12)</t>
  </si>
  <si>
    <t>54 W</t>
  </si>
  <si>
    <t>POMPALAR</t>
  </si>
  <si>
    <t xml:space="preserve">0,75 kw pompa paslanmaz komple (30-01 / 1 HP) (isteğe bağlı: ayak+filtre+nipel+çıkış flanşı=150 $) </t>
  </si>
  <si>
    <t xml:space="preserve">1,1 kw pompa paslanmaz komple(05-02 / 1,5 HP) (isteğe bağlı: ayak+filtre+nipel+çıkış flanşı=150 $) </t>
  </si>
  <si>
    <t>1,5 kw pompa paslanmaz komple (isteğe bağlı: ayak+filtre+nipel+çıkış flanşı=150 $) (30-02 / 2 HP)</t>
  </si>
  <si>
    <t>2,2 kw pompa paslanmaz komple (isteğe bağlı: ayak+filtre+nipel+çıkış flanşı=150 $) (30-03 / 3 HP)</t>
  </si>
  <si>
    <t>3 kw pompa paslanmaz komple (isteğe bağlı: ayak+filtre+nipel+çıkış flanşı=150 $) (60-02 /4 HP)</t>
  </si>
  <si>
    <t xml:space="preserve">4 kw pompa paslanmaz komple (isteğe bağlı: ayak+filtre+nipel+çıkış flanşı=250 $ </t>
  </si>
  <si>
    <t>5,5 kw pompa paslanmaz komple 4” (isteğe bağlı: ayak+filtre+nipel+çıkış flanşı=250 $  (60-03/7,5 HP)</t>
  </si>
  <si>
    <t xml:space="preserve">7,5 kw pompa paslanmaz komple 6” (96-02 / 10 HP)  (isteğe bağlı: ayak+filtre+nipel+çıkış flanşı=250 $ </t>
  </si>
  <si>
    <t>9,2 kw pompa paslanmaz komple (isteğe bağlı: ayak+filtre+nipel+çıkış flanşı=250 $ )</t>
  </si>
  <si>
    <t>11 kw pompa paslanmaz komple (isteğe bağlı: ayak+filtre+nipel+çıkış flanşı=250 $ )</t>
  </si>
  <si>
    <t>MOTORLAR</t>
  </si>
  <si>
    <t>0,75 kw İmpo Motor 4”</t>
  </si>
  <si>
    <t>1,1 kw İmpo Motor 4”</t>
  </si>
  <si>
    <t>1,5 kw İmpo Motor 4”</t>
  </si>
  <si>
    <t>2,2 kw İmpo Motor 4”</t>
  </si>
  <si>
    <t>3 kw İmpo Motor 4”</t>
  </si>
  <si>
    <t>4 kw İmpo Motor 4”</t>
  </si>
  <si>
    <t>5,5 kw İmpo Motor 4”</t>
  </si>
  <si>
    <t>7,5 kw İmpo Motor 4”</t>
  </si>
  <si>
    <t>9,2 kw Coverco Motor 6”</t>
  </si>
  <si>
    <t>11 kw İmpo Motor 6”</t>
  </si>
  <si>
    <t>ATLAYAN SU</t>
  </si>
  <si>
    <t>VANALAR</t>
  </si>
  <si>
    <t>½” Vana</t>
  </si>
  <si>
    <t>¾ ‘’ Vana</t>
  </si>
  <si>
    <t>1” Vana</t>
  </si>
  <si>
    <t>1 ½” Vana</t>
  </si>
  <si>
    <t>2’’ Vana</t>
  </si>
  <si>
    <t>2 ½” Vana</t>
  </si>
  <si>
    <t>3’’ Vana</t>
  </si>
  <si>
    <t>Açı Ayarı Vana</t>
  </si>
  <si>
    <t>ZAMBAK NOZULLAR</t>
  </si>
  <si>
    <t>Zambak Nozul-Paslanmaz</t>
  </si>
  <si>
    <t>KAPALI TİP GÜÇ KAYNAĞI</t>
  </si>
  <si>
    <t>WATT/ VOLT</t>
  </si>
  <si>
    <t>12 V</t>
  </si>
  <si>
    <t>100 W</t>
  </si>
  <si>
    <t xml:space="preserve">150 W </t>
  </si>
  <si>
    <t>200 W</t>
  </si>
  <si>
    <t>350 W</t>
  </si>
  <si>
    <t>480 W</t>
  </si>
  <si>
    <t>600 W</t>
  </si>
  <si>
    <t>750 W</t>
  </si>
  <si>
    <t>1000 W</t>
  </si>
  <si>
    <t>1500 W</t>
  </si>
  <si>
    <t>2400 W</t>
  </si>
  <si>
    <t>3000 W</t>
  </si>
  <si>
    <t>24 V</t>
  </si>
  <si>
    <t>KABLOLAR</t>
  </si>
  <si>
    <t>3x1,5 mm2 NMH kablo</t>
  </si>
  <si>
    <t>4x1,5 mm2 NMH kablo</t>
  </si>
  <si>
    <t>4x2,5 mm2 NMH kablo</t>
  </si>
  <si>
    <t>4x4 mm2 NMH kablo</t>
  </si>
  <si>
    <t>4x6 mm2 NMH kablo</t>
  </si>
  <si>
    <t>KUMANDA PANOSU</t>
  </si>
  <si>
    <t>1 MOTORLU HARİCİ PANO</t>
  </si>
  <si>
    <t>2 MOTORLU HARİCİ PANO</t>
  </si>
  <si>
    <t>3 MOTORLU HARİCİ PANO</t>
  </si>
  <si>
    <t>4 MOTORLU HARİCİ PANO</t>
  </si>
  <si>
    <t>5 MOTORLU HARİCİ PANO</t>
  </si>
  <si>
    <t>6 MOTORLU HARİCİ PANO</t>
  </si>
  <si>
    <t>KURU HAVUZ IZGARALARI</t>
  </si>
  <si>
    <t>40 X 40 X 5 mm Izgara</t>
  </si>
  <si>
    <t>50 X50 X 5 mm Izgara</t>
  </si>
  <si>
    <t>60 X 60 X 5 mm Izgara</t>
  </si>
  <si>
    <t>KOLLEKTÖR</t>
  </si>
  <si>
    <r>
      <rPr>
        <sz val="10"/>
        <color theme="1"/>
        <rFont val="Arial Tur"/>
        <charset val="162"/>
      </rPr>
      <t>Ø</t>
    </r>
    <r>
      <rPr>
        <sz val="10"/>
        <color theme="1"/>
        <rFont val="Calibri"/>
        <family val="2"/>
        <charset val="162"/>
      </rPr>
      <t xml:space="preserve"> 60 X 2 DIN 304 Paslanmaz Çelik Kollektör</t>
    </r>
  </si>
  <si>
    <r>
      <rPr>
        <sz val="10"/>
        <color theme="1"/>
        <rFont val="Arial Tur"/>
        <charset val="162"/>
      </rPr>
      <t>Ø</t>
    </r>
    <r>
      <rPr>
        <sz val="10"/>
        <color theme="1"/>
        <rFont val="Calibri"/>
        <family val="2"/>
        <charset val="162"/>
      </rPr>
      <t xml:space="preserve"> 76,1 X 2 DIN 304 Paslanmaz Çelik Kollektör</t>
    </r>
  </si>
  <si>
    <r>
      <rPr>
        <sz val="10"/>
        <color theme="1"/>
        <rFont val="Arial Tur"/>
        <charset val="162"/>
      </rPr>
      <t>Ø</t>
    </r>
    <r>
      <rPr>
        <sz val="10"/>
        <color theme="1"/>
        <rFont val="Calibri"/>
        <family val="2"/>
        <charset val="162"/>
      </rPr>
      <t xml:space="preserve"> 88,9 X 2 DIN 304 Paslanmaz Çelik Kollektör</t>
    </r>
  </si>
  <si>
    <r>
      <rPr>
        <sz val="10"/>
        <color theme="1"/>
        <rFont val="Arial Tur"/>
        <charset val="162"/>
      </rPr>
      <t>Ø</t>
    </r>
    <r>
      <rPr>
        <sz val="10"/>
        <color theme="1"/>
        <rFont val="Calibri"/>
        <family val="2"/>
        <charset val="162"/>
      </rPr>
      <t xml:space="preserve"> 114,3 X 2 DIN 304 Paslanmaz Çelik Kollektör</t>
    </r>
  </si>
  <si>
    <t>AERATÖRLER</t>
  </si>
  <si>
    <r>
      <t>1 HP-</t>
    </r>
    <r>
      <rPr>
        <sz val="10"/>
        <color theme="1"/>
        <rFont val="Times New Roman"/>
        <family val="1"/>
        <charset val="162"/>
      </rPr>
      <t xml:space="preserve">( 3 ad 6x1 W RGB, </t>
    </r>
  </si>
  <si>
    <r>
      <t>1,5 HP-</t>
    </r>
    <r>
      <rPr>
        <sz val="10"/>
        <color theme="1"/>
        <rFont val="Times New Roman"/>
        <family val="1"/>
        <charset val="162"/>
      </rPr>
      <t>( 3 ad 6x1 W RGB,</t>
    </r>
  </si>
  <si>
    <r>
      <t>2 HP-</t>
    </r>
    <r>
      <rPr>
        <sz val="10"/>
        <color theme="1"/>
        <rFont val="Times New Roman"/>
        <family val="1"/>
        <charset val="162"/>
      </rPr>
      <t>( 3 ad 6x1 W RGB, 30 m kablo ve pano dahil )</t>
    </r>
  </si>
  <si>
    <r>
      <t>3 HP-</t>
    </r>
    <r>
      <rPr>
        <sz val="10"/>
        <color theme="1"/>
        <rFont val="Times New Roman"/>
        <family val="1"/>
        <charset val="162"/>
      </rPr>
      <t xml:space="preserve">( 3 ad 6x1 W RGB, </t>
    </r>
  </si>
  <si>
    <r>
      <t>4 HP-</t>
    </r>
    <r>
      <rPr>
        <sz val="10"/>
        <color theme="1"/>
        <rFont val="Times New Roman"/>
        <family val="1"/>
        <charset val="162"/>
      </rPr>
      <t>( 3 ad 6x1 W RGB, 3</t>
    </r>
  </si>
  <si>
    <r>
      <t>5.5 HP-</t>
    </r>
    <r>
      <rPr>
        <sz val="10"/>
        <color theme="1"/>
        <rFont val="Times New Roman"/>
        <family val="1"/>
        <charset val="162"/>
      </rPr>
      <t>( 3 ad 6x1 W RGB,</t>
    </r>
  </si>
  <si>
    <t>5.5 HP Büyük Duba</t>
  </si>
  <si>
    <t>YÜKSEK ATAN AERATÖRLER</t>
  </si>
  <si>
    <r>
      <t>7,5 HP -</t>
    </r>
    <r>
      <rPr>
        <sz val="10"/>
        <color theme="1"/>
        <rFont val="Times New Roman"/>
        <family val="1"/>
        <charset val="162"/>
      </rPr>
      <t>( 3 ad 6x1 W RGB, 30 m kablo ve pano dahil )</t>
    </r>
  </si>
  <si>
    <r>
      <t>10 HP-</t>
    </r>
    <r>
      <rPr>
        <sz val="10"/>
        <color theme="1"/>
        <rFont val="Times New Roman"/>
        <family val="1"/>
        <charset val="162"/>
      </rPr>
      <t>( 3 ad 6x1 W RGB, 30 m kablo ve pano dahil )</t>
    </r>
  </si>
  <si>
    <r>
      <t>15 HP-</t>
    </r>
    <r>
      <rPr>
        <sz val="10"/>
        <color theme="1"/>
        <rFont val="Times New Roman"/>
        <family val="1"/>
        <charset val="162"/>
      </rPr>
      <t>( 3 ad 6x1 W RGB, 30 m kablo ve pano dahil )</t>
    </r>
  </si>
  <si>
    <r>
      <t>20  HP-</t>
    </r>
    <r>
      <rPr>
        <sz val="10"/>
        <color theme="1"/>
        <rFont val="Times New Roman"/>
        <family val="1"/>
        <charset val="162"/>
      </rPr>
      <t>( 3 ad 6x1 W RGB, 30 m kablo ve pano dahil )</t>
    </r>
  </si>
  <si>
    <t>İNVERTERLER</t>
  </si>
  <si>
    <t>0,75 KW</t>
  </si>
  <si>
    <t>1.1 KW</t>
  </si>
  <si>
    <t>1.5 KW</t>
  </si>
  <si>
    <t>2.2 KW</t>
  </si>
  <si>
    <t xml:space="preserve">3 KW </t>
  </si>
  <si>
    <t xml:space="preserve">4 KW </t>
  </si>
  <si>
    <t xml:space="preserve">5.5 KW </t>
  </si>
  <si>
    <t xml:space="preserve">7.5 KW </t>
  </si>
  <si>
    <t>11 KW</t>
  </si>
  <si>
    <t xml:space="preserve">18.5 KW </t>
  </si>
  <si>
    <t>MALİYET</t>
  </si>
  <si>
    <t xml:space="preserve">HAVUZTEK SATIŞ </t>
  </si>
  <si>
    <t xml:space="preserve">BLT  SATIŞ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</si>
</sst>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#,##0.00\ [$USD]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theme="1"/>
      <name val="Calibri"/>
      <family val="2"/>
      <charset val="162"/>
    </font>
    <font>
      <sz val="16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6"/>
      <color theme="1"/>
      <name val="Calibri"/>
      <family val="2"/>
      <charset val="162"/>
    </font>
    <font>
      <sz val="10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color theme="1"/>
      <name val="Arial Tur"/>
      <charset val="162"/>
    </font>
    <font>
      <b/>
      <sz val="10"/>
      <color theme="1"/>
      <name val="Verdana"/>
      <family val="2"/>
      <charset val="162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9" fontId="1" fillId="0" borderId="1" xfId="0" applyNumberFormat="1" applyFont="1" applyBorder="1"/>
    <xf numFmtId="9" fontId="1" fillId="2" borderId="1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/>
    <xf numFmtId="164" fontId="4" fillId="2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165" fontId="0" fillId="0" borderId="1" xfId="0" applyNumberFormat="1" applyBorder="1"/>
    <xf numFmtId="164" fontId="8" fillId="0" borderId="1" xfId="0" applyNumberFormat="1" applyFont="1" applyBorder="1" applyAlignment="1">
      <alignment vertical="center" wrapText="1"/>
    </xf>
    <xf numFmtId="0" fontId="4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" fontId="0" fillId="0" borderId="1" xfId="0" applyNumberFormat="1" applyBorder="1"/>
    <xf numFmtId="164" fontId="0" fillId="0" borderId="1" xfId="0" applyNumberFormat="1" applyBorder="1"/>
    <xf numFmtId="0" fontId="0" fillId="2" borderId="0" xfId="0" applyFill="1"/>
    <xf numFmtId="164" fontId="4" fillId="0" borderId="5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8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4" fontId="4" fillId="0" borderId="5" xfId="0" applyNumberFormat="1" applyFont="1" applyBorder="1" applyAlignment="1"/>
    <xf numFmtId="164" fontId="4" fillId="0" borderId="6" xfId="0" applyNumberFormat="1" applyFont="1" applyBorder="1" applyAlignment="1"/>
    <xf numFmtId="164" fontId="4" fillId="0" borderId="7" xfId="0" applyNumberFormat="1" applyFont="1" applyBorder="1" applyAlignment="1"/>
    <xf numFmtId="164" fontId="4" fillId="0" borderId="0" xfId="0" applyNumberFormat="1" applyFont="1" applyAlignment="1"/>
    <xf numFmtId="164" fontId="4" fillId="0" borderId="8" xfId="0" applyNumberFormat="1" applyFont="1" applyBorder="1" applyAlignment="1"/>
    <xf numFmtId="164" fontId="4" fillId="0" borderId="9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topLeftCell="A22" workbookViewId="0">
      <selection activeCell="D3" sqref="D3"/>
    </sheetView>
  </sheetViews>
  <sheetFormatPr defaultRowHeight="15" x14ac:dyDescent="0.25"/>
  <cols>
    <col min="2" max="2" width="14" customWidth="1"/>
    <col min="3" max="3" width="13" customWidth="1"/>
    <col min="4" max="5" width="33.5703125" customWidth="1"/>
    <col min="6" max="6" width="20.140625" customWidth="1"/>
    <col min="7" max="7" width="17.5703125" customWidth="1"/>
    <col min="8" max="8" width="17.85546875" style="51" customWidth="1"/>
    <col min="9" max="10" width="17.85546875" customWidth="1"/>
  </cols>
  <sheetData>
    <row r="1" spans="1:10" x14ac:dyDescent="0.25">
      <c r="H1"/>
    </row>
    <row r="2" spans="1:10" x14ac:dyDescent="0.25">
      <c r="H2"/>
    </row>
    <row r="3" spans="1:10" x14ac:dyDescent="0.25">
      <c r="A3" s="1" t="s">
        <v>0</v>
      </c>
      <c r="B3" s="1" t="s">
        <v>1</v>
      </c>
      <c r="C3" s="1"/>
      <c r="D3" s="1"/>
      <c r="E3" s="1" t="s">
        <v>199</v>
      </c>
      <c r="F3" s="1" t="s">
        <v>2</v>
      </c>
      <c r="G3" s="1" t="s">
        <v>200</v>
      </c>
      <c r="H3" s="2" t="s">
        <v>201</v>
      </c>
      <c r="I3" s="1"/>
      <c r="J3" s="3"/>
    </row>
    <row r="4" spans="1:10" x14ac:dyDescent="0.25">
      <c r="A4" s="4"/>
      <c r="B4" s="5"/>
      <c r="C4" s="5"/>
      <c r="D4" s="6"/>
      <c r="E4" s="6"/>
      <c r="F4" s="7">
        <v>0.2</v>
      </c>
      <c r="G4" s="7">
        <v>0.1</v>
      </c>
      <c r="H4" s="8">
        <v>0.3</v>
      </c>
      <c r="I4" s="1"/>
      <c r="J4" s="3"/>
    </row>
    <row r="5" spans="1:10" x14ac:dyDescent="0.25">
      <c r="A5" s="9"/>
      <c r="B5" s="10"/>
      <c r="C5" s="10"/>
      <c r="D5" s="11"/>
      <c r="E5" s="12"/>
      <c r="F5" s="13"/>
      <c r="G5" s="14"/>
      <c r="H5" s="15"/>
      <c r="I5" s="14"/>
      <c r="J5" s="13"/>
    </row>
    <row r="6" spans="1:10" x14ac:dyDescent="0.25">
      <c r="A6" s="16"/>
      <c r="B6" s="17"/>
      <c r="C6" s="17"/>
      <c r="D6" s="18"/>
      <c r="E6" s="18"/>
      <c r="F6" s="1"/>
      <c r="G6" s="1"/>
      <c r="H6" s="2"/>
      <c r="I6" s="1"/>
      <c r="J6" s="3"/>
    </row>
    <row r="7" spans="1:10" x14ac:dyDescent="0.25">
      <c r="A7" s="16"/>
      <c r="B7" s="17"/>
      <c r="C7" s="17"/>
      <c r="D7" s="18"/>
      <c r="E7" s="18"/>
      <c r="F7" s="1"/>
      <c r="G7" s="1"/>
      <c r="H7" s="2"/>
      <c r="I7" s="1"/>
      <c r="J7" s="3"/>
    </row>
    <row r="8" spans="1:10" x14ac:dyDescent="0.25">
      <c r="A8" s="1"/>
      <c r="B8" s="1"/>
      <c r="C8" s="1"/>
      <c r="D8" s="1"/>
      <c r="E8" s="1"/>
      <c r="F8" s="1"/>
      <c r="G8" s="1"/>
      <c r="H8" s="2"/>
      <c r="I8" s="1"/>
      <c r="J8" s="3"/>
    </row>
    <row r="9" spans="1:10" x14ac:dyDescent="0.25">
      <c r="A9" s="19"/>
      <c r="B9" s="20" t="s">
        <v>3</v>
      </c>
      <c r="C9" s="20"/>
      <c r="D9" s="20"/>
      <c r="E9" s="21"/>
      <c r="F9" s="19"/>
      <c r="G9" s="19"/>
      <c r="H9" s="22"/>
      <c r="I9" s="19"/>
      <c r="J9" s="19"/>
    </row>
    <row r="10" spans="1:10" ht="21" x14ac:dyDescent="0.35">
      <c r="A10" s="19">
        <v>1</v>
      </c>
      <c r="B10" s="23" t="s">
        <v>4</v>
      </c>
      <c r="C10" s="23" t="s">
        <v>5</v>
      </c>
      <c r="D10" s="24" t="s">
        <v>6</v>
      </c>
      <c r="E10" s="25">
        <v>55</v>
      </c>
      <c r="F10" s="25">
        <f>E10*1.2</f>
        <v>66</v>
      </c>
      <c r="G10" s="25">
        <f>F10*1.1</f>
        <v>72.600000000000009</v>
      </c>
      <c r="H10" s="26">
        <f>F10*1.3</f>
        <v>85.8</v>
      </c>
      <c r="I10" s="25">
        <v>34.25</v>
      </c>
      <c r="J10" s="25">
        <f>I10*H10</f>
        <v>2938.65</v>
      </c>
    </row>
    <row r="11" spans="1:10" ht="21" x14ac:dyDescent="0.35">
      <c r="A11" s="19">
        <v>2</v>
      </c>
      <c r="B11" s="23" t="s">
        <v>4</v>
      </c>
      <c r="C11" s="23" t="s">
        <v>5</v>
      </c>
      <c r="D11" s="24" t="s">
        <v>7</v>
      </c>
      <c r="E11" s="25">
        <v>11</v>
      </c>
      <c r="F11" s="25">
        <f t="shared" ref="F11:F74" si="0">E11*1.2</f>
        <v>13.2</v>
      </c>
      <c r="G11" s="25">
        <f t="shared" ref="G11:G74" si="1">F11*1.1</f>
        <v>14.52</v>
      </c>
      <c r="H11" s="26">
        <f t="shared" ref="H11:H74" si="2">F11*1.3</f>
        <v>17.16</v>
      </c>
      <c r="I11" s="25">
        <v>34.25</v>
      </c>
      <c r="J11" s="25">
        <f>I11*H11</f>
        <v>587.73</v>
      </c>
    </row>
    <row r="12" spans="1:10" ht="21" x14ac:dyDescent="0.35">
      <c r="A12" s="19">
        <v>3</v>
      </c>
      <c r="B12" s="23" t="s">
        <v>8</v>
      </c>
      <c r="C12" s="23" t="s">
        <v>9</v>
      </c>
      <c r="D12" s="24" t="s">
        <v>6</v>
      </c>
      <c r="E12" s="25"/>
      <c r="F12" s="25">
        <f t="shared" si="0"/>
        <v>0</v>
      </c>
      <c r="G12" s="25">
        <f t="shared" si="1"/>
        <v>0</v>
      </c>
      <c r="H12" s="26">
        <f t="shared" si="2"/>
        <v>0</v>
      </c>
      <c r="I12" s="25"/>
      <c r="J12" s="25"/>
    </row>
    <row r="13" spans="1:10" ht="21" x14ac:dyDescent="0.35">
      <c r="A13" s="19">
        <v>4</v>
      </c>
      <c r="B13" s="23" t="s">
        <v>10</v>
      </c>
      <c r="C13" s="23" t="s">
        <v>11</v>
      </c>
      <c r="D13" s="24" t="s">
        <v>12</v>
      </c>
      <c r="E13" s="25">
        <v>4.8</v>
      </c>
      <c r="F13" s="25">
        <f t="shared" si="0"/>
        <v>5.76</v>
      </c>
      <c r="G13" s="25">
        <f t="shared" si="1"/>
        <v>6.3360000000000003</v>
      </c>
      <c r="H13" s="26">
        <f t="shared" si="2"/>
        <v>7.4879999999999995</v>
      </c>
      <c r="I13" s="25">
        <v>34.25</v>
      </c>
      <c r="J13" s="25">
        <f>I13*H13</f>
        <v>256.464</v>
      </c>
    </row>
    <row r="14" spans="1:10" ht="21" x14ac:dyDescent="0.35">
      <c r="A14" s="19">
        <v>5</v>
      </c>
      <c r="B14" s="23" t="s">
        <v>10</v>
      </c>
      <c r="C14" s="23" t="s">
        <v>11</v>
      </c>
      <c r="D14" s="24" t="s">
        <v>13</v>
      </c>
      <c r="E14" s="25">
        <v>13.8</v>
      </c>
      <c r="F14" s="25">
        <f t="shared" si="0"/>
        <v>16.559999999999999</v>
      </c>
      <c r="G14" s="25">
        <f t="shared" si="1"/>
        <v>18.216000000000001</v>
      </c>
      <c r="H14" s="26">
        <f t="shared" si="2"/>
        <v>21.527999999999999</v>
      </c>
      <c r="I14" s="25"/>
      <c r="J14" s="25"/>
    </row>
    <row r="15" spans="1:10" ht="21" x14ac:dyDescent="0.35">
      <c r="A15" s="19">
        <v>6</v>
      </c>
      <c r="B15" s="23" t="s">
        <v>14</v>
      </c>
      <c r="C15" s="23" t="s">
        <v>5</v>
      </c>
      <c r="D15" s="24" t="s">
        <v>15</v>
      </c>
      <c r="E15" s="25">
        <v>6</v>
      </c>
      <c r="F15" s="25">
        <f t="shared" si="0"/>
        <v>7.1999999999999993</v>
      </c>
      <c r="G15" s="25">
        <f t="shared" si="1"/>
        <v>7.92</v>
      </c>
      <c r="H15" s="26">
        <f t="shared" si="2"/>
        <v>9.36</v>
      </c>
      <c r="I15" s="25"/>
      <c r="J15" s="25"/>
    </row>
    <row r="16" spans="1:10" ht="21" x14ac:dyDescent="0.35">
      <c r="A16" s="19">
        <v>7</v>
      </c>
      <c r="B16" s="23" t="s">
        <v>14</v>
      </c>
      <c r="C16" s="23" t="s">
        <v>5</v>
      </c>
      <c r="D16" s="24" t="s">
        <v>12</v>
      </c>
      <c r="E16" s="25">
        <v>7.5</v>
      </c>
      <c r="F16" s="25">
        <f t="shared" si="0"/>
        <v>9</v>
      </c>
      <c r="G16" s="25">
        <f t="shared" si="1"/>
        <v>9.9</v>
      </c>
      <c r="H16" s="26">
        <f t="shared" si="2"/>
        <v>11.700000000000001</v>
      </c>
      <c r="I16" s="25">
        <v>34.25</v>
      </c>
      <c r="J16" s="25">
        <f>I16*H16</f>
        <v>400.72500000000002</v>
      </c>
    </row>
    <row r="17" spans="1:10" ht="21" x14ac:dyDescent="0.35">
      <c r="A17" s="19">
        <v>8</v>
      </c>
      <c r="B17" s="23" t="s">
        <v>14</v>
      </c>
      <c r="C17" s="23" t="s">
        <v>5</v>
      </c>
      <c r="D17" s="24" t="s">
        <v>13</v>
      </c>
      <c r="E17" s="25">
        <v>39</v>
      </c>
      <c r="F17" s="25">
        <f t="shared" si="0"/>
        <v>46.8</v>
      </c>
      <c r="G17" s="25">
        <f t="shared" si="1"/>
        <v>51.480000000000004</v>
      </c>
      <c r="H17" s="26">
        <f t="shared" si="2"/>
        <v>60.839999999999996</v>
      </c>
      <c r="I17" s="25"/>
      <c r="J17" s="25"/>
    </row>
    <row r="18" spans="1:10" ht="21" x14ac:dyDescent="0.35">
      <c r="A18" s="19">
        <v>9</v>
      </c>
      <c r="B18" s="23" t="s">
        <v>16</v>
      </c>
      <c r="C18" s="23" t="s">
        <v>17</v>
      </c>
      <c r="D18" s="24" t="s">
        <v>15</v>
      </c>
      <c r="E18" s="25">
        <v>0</v>
      </c>
      <c r="F18" s="25">
        <f t="shared" si="0"/>
        <v>0</v>
      </c>
      <c r="G18" s="25">
        <f t="shared" si="1"/>
        <v>0</v>
      </c>
      <c r="H18" s="26">
        <f t="shared" si="2"/>
        <v>0</v>
      </c>
      <c r="I18" s="25"/>
      <c r="J18" s="25"/>
    </row>
    <row r="19" spans="1:10" ht="21" x14ac:dyDescent="0.35">
      <c r="A19" s="19">
        <v>10</v>
      </c>
      <c r="B19" s="23" t="s">
        <v>16</v>
      </c>
      <c r="C19" s="23" t="s">
        <v>17</v>
      </c>
      <c r="D19" s="24" t="s">
        <v>12</v>
      </c>
      <c r="E19" s="25">
        <v>13.5</v>
      </c>
      <c r="F19" s="25">
        <f t="shared" si="0"/>
        <v>16.2</v>
      </c>
      <c r="G19" s="25">
        <f t="shared" si="1"/>
        <v>17.82</v>
      </c>
      <c r="H19" s="26">
        <f t="shared" si="2"/>
        <v>21.06</v>
      </c>
      <c r="I19" s="25">
        <v>34.25</v>
      </c>
      <c r="J19" s="25">
        <f>I19*H19</f>
        <v>721.30499999999995</v>
      </c>
    </row>
    <row r="20" spans="1:10" ht="21" x14ac:dyDescent="0.35">
      <c r="A20" s="19">
        <v>11</v>
      </c>
      <c r="B20" s="23" t="s">
        <v>16</v>
      </c>
      <c r="C20" s="23" t="s">
        <v>17</v>
      </c>
      <c r="D20" s="24" t="s">
        <v>13</v>
      </c>
      <c r="E20" s="25">
        <v>78</v>
      </c>
      <c r="F20" s="25">
        <f t="shared" si="0"/>
        <v>93.6</v>
      </c>
      <c r="G20" s="25">
        <f t="shared" si="1"/>
        <v>102.96000000000001</v>
      </c>
      <c r="H20" s="26">
        <f t="shared" si="2"/>
        <v>121.67999999999999</v>
      </c>
      <c r="I20" s="25"/>
      <c r="J20" s="25"/>
    </row>
    <row r="21" spans="1:10" ht="21" x14ac:dyDescent="0.35">
      <c r="A21" s="19">
        <v>12</v>
      </c>
      <c r="B21" s="23" t="s">
        <v>18</v>
      </c>
      <c r="C21" s="23" t="s">
        <v>19</v>
      </c>
      <c r="D21" s="24" t="s">
        <v>13</v>
      </c>
      <c r="E21" s="25">
        <v>122</v>
      </c>
      <c r="F21" s="25">
        <f t="shared" si="0"/>
        <v>146.4</v>
      </c>
      <c r="G21" s="25">
        <f t="shared" si="1"/>
        <v>161.04000000000002</v>
      </c>
      <c r="H21" s="26">
        <f t="shared" si="2"/>
        <v>190.32000000000002</v>
      </c>
      <c r="I21" s="25"/>
      <c r="J21" s="25"/>
    </row>
    <row r="22" spans="1:10" ht="21" x14ac:dyDescent="0.35">
      <c r="A22" s="19">
        <v>13</v>
      </c>
      <c r="B22" s="23" t="s">
        <v>18</v>
      </c>
      <c r="C22" s="23" t="s">
        <v>19</v>
      </c>
      <c r="D22" s="24" t="s">
        <v>12</v>
      </c>
      <c r="E22" s="25">
        <v>21</v>
      </c>
      <c r="F22" s="25">
        <f t="shared" si="0"/>
        <v>25.2</v>
      </c>
      <c r="G22" s="25">
        <f t="shared" si="1"/>
        <v>27.720000000000002</v>
      </c>
      <c r="H22" s="26">
        <f t="shared" si="2"/>
        <v>32.76</v>
      </c>
      <c r="I22" s="25">
        <v>34.25</v>
      </c>
      <c r="J22" s="25">
        <f>I22*H22</f>
        <v>1122.03</v>
      </c>
    </row>
    <row r="23" spans="1:10" ht="21" x14ac:dyDescent="0.35">
      <c r="A23" s="19">
        <v>14</v>
      </c>
      <c r="B23" s="23" t="s">
        <v>20</v>
      </c>
      <c r="C23" s="23" t="s">
        <v>21</v>
      </c>
      <c r="D23" s="24" t="s">
        <v>13</v>
      </c>
      <c r="E23" s="25">
        <v>189</v>
      </c>
      <c r="F23" s="25">
        <f t="shared" si="0"/>
        <v>226.79999999999998</v>
      </c>
      <c r="G23" s="25">
        <f t="shared" si="1"/>
        <v>249.48</v>
      </c>
      <c r="H23" s="26">
        <f t="shared" si="2"/>
        <v>294.83999999999997</v>
      </c>
      <c r="I23" s="25"/>
      <c r="J23" s="25"/>
    </row>
    <row r="24" spans="1:10" ht="21" x14ac:dyDescent="0.35">
      <c r="A24" s="19">
        <v>15</v>
      </c>
      <c r="B24" s="23" t="s">
        <v>20</v>
      </c>
      <c r="C24" s="23" t="s">
        <v>21</v>
      </c>
      <c r="D24" s="24" t="s">
        <v>12</v>
      </c>
      <c r="E24" s="25">
        <v>28</v>
      </c>
      <c r="F24" s="25">
        <f t="shared" si="0"/>
        <v>33.6</v>
      </c>
      <c r="G24" s="25">
        <f t="shared" si="1"/>
        <v>36.960000000000008</v>
      </c>
      <c r="H24" s="26">
        <f t="shared" si="2"/>
        <v>43.680000000000007</v>
      </c>
      <c r="I24" s="25">
        <v>34.25</v>
      </c>
      <c r="J24" s="25">
        <f>I24*H24</f>
        <v>1496.0400000000002</v>
      </c>
    </row>
    <row r="25" spans="1:10" ht="21" x14ac:dyDescent="0.35">
      <c r="A25" s="19">
        <v>16</v>
      </c>
      <c r="B25" s="23" t="s">
        <v>22</v>
      </c>
      <c r="C25" s="23" t="s">
        <v>11</v>
      </c>
      <c r="D25" s="24" t="s">
        <v>23</v>
      </c>
      <c r="E25" s="25">
        <v>0</v>
      </c>
      <c r="F25" s="25">
        <f t="shared" si="0"/>
        <v>0</v>
      </c>
      <c r="G25" s="25">
        <f t="shared" si="1"/>
        <v>0</v>
      </c>
      <c r="H25" s="26">
        <f t="shared" si="2"/>
        <v>0</v>
      </c>
      <c r="I25" s="25"/>
      <c r="J25" s="25"/>
    </row>
    <row r="26" spans="1:10" ht="21" x14ac:dyDescent="0.35">
      <c r="A26" s="19">
        <v>17</v>
      </c>
      <c r="B26" s="23" t="s">
        <v>24</v>
      </c>
      <c r="C26" s="23" t="s">
        <v>5</v>
      </c>
      <c r="D26" s="24" t="s">
        <v>23</v>
      </c>
      <c r="E26" s="25">
        <v>62</v>
      </c>
      <c r="F26" s="25">
        <f t="shared" si="0"/>
        <v>74.399999999999991</v>
      </c>
      <c r="G26" s="25">
        <f t="shared" si="1"/>
        <v>81.84</v>
      </c>
      <c r="H26" s="26">
        <f t="shared" si="2"/>
        <v>96.72</v>
      </c>
      <c r="I26" s="25"/>
      <c r="J26" s="25"/>
    </row>
    <row r="27" spans="1:10" ht="21" x14ac:dyDescent="0.35">
      <c r="A27" s="19">
        <v>18</v>
      </c>
      <c r="B27" s="23" t="s">
        <v>25</v>
      </c>
      <c r="C27" s="23" t="s">
        <v>17</v>
      </c>
      <c r="D27" s="24" t="s">
        <v>23</v>
      </c>
      <c r="E27" s="25">
        <v>118</v>
      </c>
      <c r="F27" s="25">
        <f t="shared" si="0"/>
        <v>141.6</v>
      </c>
      <c r="G27" s="25">
        <f t="shared" si="1"/>
        <v>155.76000000000002</v>
      </c>
      <c r="H27" s="26">
        <f t="shared" si="2"/>
        <v>184.08</v>
      </c>
      <c r="I27" s="25"/>
      <c r="J27" s="25"/>
    </row>
    <row r="28" spans="1:10" ht="21" x14ac:dyDescent="0.35">
      <c r="A28" s="19">
        <v>19</v>
      </c>
      <c r="B28" s="23" t="s">
        <v>26</v>
      </c>
      <c r="C28" s="23" t="s">
        <v>19</v>
      </c>
      <c r="D28" s="24" t="s">
        <v>23</v>
      </c>
      <c r="E28" s="25">
        <v>201</v>
      </c>
      <c r="F28" s="25">
        <f t="shared" si="0"/>
        <v>241.2</v>
      </c>
      <c r="G28" s="25">
        <f t="shared" si="1"/>
        <v>265.32</v>
      </c>
      <c r="H28" s="26">
        <f t="shared" si="2"/>
        <v>313.56</v>
      </c>
      <c r="I28" s="25"/>
      <c r="J28" s="25"/>
    </row>
    <row r="29" spans="1:10" ht="21" x14ac:dyDescent="0.35">
      <c r="A29" s="19">
        <v>20</v>
      </c>
      <c r="B29" s="23" t="s">
        <v>27</v>
      </c>
      <c r="C29" s="23" t="s">
        <v>21</v>
      </c>
      <c r="D29" s="24" t="s">
        <v>23</v>
      </c>
      <c r="E29" s="25">
        <v>224</v>
      </c>
      <c r="F29" s="25">
        <f t="shared" si="0"/>
        <v>268.8</v>
      </c>
      <c r="G29" s="25">
        <f t="shared" si="1"/>
        <v>295.68000000000006</v>
      </c>
      <c r="H29" s="26">
        <f t="shared" si="2"/>
        <v>349.44000000000005</v>
      </c>
      <c r="I29" s="25"/>
      <c r="J29" s="25"/>
    </row>
    <row r="30" spans="1:10" ht="21" x14ac:dyDescent="0.35">
      <c r="A30" s="19">
        <v>21</v>
      </c>
      <c r="B30" s="20" t="s">
        <v>28</v>
      </c>
      <c r="C30" s="20"/>
      <c r="D30" s="20"/>
      <c r="E30" s="25"/>
      <c r="F30" s="25">
        <f t="shared" si="0"/>
        <v>0</v>
      </c>
      <c r="G30" s="25">
        <f t="shared" si="1"/>
        <v>0</v>
      </c>
      <c r="H30" s="26">
        <f t="shared" si="2"/>
        <v>0</v>
      </c>
      <c r="I30" s="25"/>
      <c r="J30" s="25"/>
    </row>
    <row r="31" spans="1:10" ht="21" x14ac:dyDescent="0.35">
      <c r="A31" s="19">
        <v>23</v>
      </c>
      <c r="B31" s="23" t="s">
        <v>29</v>
      </c>
      <c r="C31" s="23" t="s">
        <v>11</v>
      </c>
      <c r="D31" s="24" t="s">
        <v>30</v>
      </c>
      <c r="E31" s="25">
        <v>3.5</v>
      </c>
      <c r="F31" s="25">
        <f t="shared" si="0"/>
        <v>4.2</v>
      </c>
      <c r="G31" s="25">
        <f t="shared" si="1"/>
        <v>4.620000000000001</v>
      </c>
      <c r="H31" s="26">
        <f t="shared" si="2"/>
        <v>5.4600000000000009</v>
      </c>
      <c r="I31" s="25">
        <v>34.25</v>
      </c>
      <c r="J31" s="25">
        <f>I31*H31</f>
        <v>187.00500000000002</v>
      </c>
    </row>
    <row r="32" spans="1:10" ht="21" x14ac:dyDescent="0.35">
      <c r="A32" s="19">
        <v>24</v>
      </c>
      <c r="B32" s="23" t="s">
        <v>31</v>
      </c>
      <c r="C32" s="23" t="s">
        <v>5</v>
      </c>
      <c r="D32" s="24" t="s">
        <v>30</v>
      </c>
      <c r="E32" s="25">
        <v>5.8</v>
      </c>
      <c r="F32" s="25">
        <f t="shared" si="0"/>
        <v>6.96</v>
      </c>
      <c r="G32" s="25">
        <f t="shared" si="1"/>
        <v>7.6560000000000006</v>
      </c>
      <c r="H32" s="26">
        <f t="shared" si="2"/>
        <v>9.048</v>
      </c>
      <c r="I32" s="25">
        <v>34.25</v>
      </c>
      <c r="J32" s="25">
        <f>I32*H32</f>
        <v>309.89400000000001</v>
      </c>
    </row>
    <row r="33" spans="1:10" ht="21" x14ac:dyDescent="0.35">
      <c r="A33" s="19">
        <v>25</v>
      </c>
      <c r="B33" s="20" t="s">
        <v>32</v>
      </c>
      <c r="C33" s="20"/>
      <c r="D33" s="20"/>
      <c r="E33" s="25"/>
      <c r="F33" s="25">
        <f t="shared" si="0"/>
        <v>0</v>
      </c>
      <c r="G33" s="25">
        <f t="shared" si="1"/>
        <v>0</v>
      </c>
      <c r="H33" s="26">
        <f t="shared" si="2"/>
        <v>0</v>
      </c>
      <c r="I33" s="25"/>
      <c r="J33" s="25"/>
    </row>
    <row r="34" spans="1:10" ht="21" x14ac:dyDescent="0.35">
      <c r="A34" s="19">
        <v>26</v>
      </c>
      <c r="B34" s="23" t="s">
        <v>33</v>
      </c>
      <c r="C34" s="23" t="s">
        <v>34</v>
      </c>
      <c r="D34" s="24" t="s">
        <v>35</v>
      </c>
      <c r="E34" s="25">
        <v>0</v>
      </c>
      <c r="F34" s="25">
        <f t="shared" si="0"/>
        <v>0</v>
      </c>
      <c r="G34" s="25">
        <f t="shared" si="1"/>
        <v>0</v>
      </c>
      <c r="H34" s="26">
        <f t="shared" si="2"/>
        <v>0</v>
      </c>
      <c r="I34" s="25"/>
      <c r="J34" s="25"/>
    </row>
    <row r="35" spans="1:10" ht="21" x14ac:dyDescent="0.35">
      <c r="A35" s="19">
        <v>27</v>
      </c>
      <c r="B35" s="23" t="s">
        <v>36</v>
      </c>
      <c r="C35" s="23" t="s">
        <v>34</v>
      </c>
      <c r="D35" s="24" t="s">
        <v>35</v>
      </c>
      <c r="E35" s="25">
        <v>0</v>
      </c>
      <c r="F35" s="25">
        <f t="shared" si="0"/>
        <v>0</v>
      </c>
      <c r="G35" s="25">
        <f t="shared" si="1"/>
        <v>0</v>
      </c>
      <c r="H35" s="26">
        <f t="shared" si="2"/>
        <v>0</v>
      </c>
      <c r="I35" s="25"/>
      <c r="J35" s="25"/>
    </row>
    <row r="36" spans="1:10" ht="21" x14ac:dyDescent="0.35">
      <c r="A36" s="19">
        <v>28</v>
      </c>
      <c r="B36" s="23" t="s">
        <v>37</v>
      </c>
      <c r="C36" s="23" t="s">
        <v>34</v>
      </c>
      <c r="D36" s="24" t="s">
        <v>35</v>
      </c>
      <c r="E36" s="25">
        <v>0</v>
      </c>
      <c r="F36" s="25">
        <f t="shared" si="0"/>
        <v>0</v>
      </c>
      <c r="G36" s="25">
        <f t="shared" si="1"/>
        <v>0</v>
      </c>
      <c r="H36" s="26">
        <f t="shared" si="2"/>
        <v>0</v>
      </c>
      <c r="I36" s="25"/>
      <c r="J36" s="25"/>
    </row>
    <row r="37" spans="1:10" ht="21" x14ac:dyDescent="0.35">
      <c r="A37" s="19">
        <v>29</v>
      </c>
      <c r="B37" s="23" t="s">
        <v>38</v>
      </c>
      <c r="C37" s="23" t="s">
        <v>34</v>
      </c>
      <c r="D37" s="24" t="s">
        <v>35</v>
      </c>
      <c r="E37" s="25">
        <v>4.8</v>
      </c>
      <c r="F37" s="25">
        <f t="shared" si="0"/>
        <v>5.76</v>
      </c>
      <c r="G37" s="25">
        <f t="shared" si="1"/>
        <v>6.3360000000000003</v>
      </c>
      <c r="H37" s="26">
        <f t="shared" si="2"/>
        <v>7.4879999999999995</v>
      </c>
      <c r="I37" s="25">
        <v>34.25</v>
      </c>
      <c r="J37" s="25">
        <f>I37*H37</f>
        <v>256.464</v>
      </c>
    </row>
    <row r="38" spans="1:10" ht="21" x14ac:dyDescent="0.35">
      <c r="A38" s="19">
        <v>30</v>
      </c>
      <c r="B38" s="23" t="s">
        <v>39</v>
      </c>
      <c r="C38" s="23" t="s">
        <v>34</v>
      </c>
      <c r="D38" s="24" t="s">
        <v>35</v>
      </c>
      <c r="E38" s="25">
        <v>4.8</v>
      </c>
      <c r="F38" s="25">
        <f t="shared" si="0"/>
        <v>5.76</v>
      </c>
      <c r="G38" s="25">
        <f t="shared" si="1"/>
        <v>6.3360000000000003</v>
      </c>
      <c r="H38" s="26">
        <f t="shared" si="2"/>
        <v>7.4879999999999995</v>
      </c>
      <c r="I38" s="25"/>
      <c r="J38" s="25"/>
    </row>
    <row r="39" spans="1:10" ht="21" x14ac:dyDescent="0.35">
      <c r="A39" s="19">
        <v>31</v>
      </c>
      <c r="B39" s="23" t="s">
        <v>40</v>
      </c>
      <c r="C39" s="23" t="s">
        <v>11</v>
      </c>
      <c r="D39" s="24" t="s">
        <v>35</v>
      </c>
      <c r="E39" s="25">
        <v>11.2</v>
      </c>
      <c r="F39" s="25">
        <f t="shared" si="0"/>
        <v>13.44</v>
      </c>
      <c r="G39" s="25">
        <f t="shared" si="1"/>
        <v>14.784000000000001</v>
      </c>
      <c r="H39" s="26">
        <f t="shared" si="2"/>
        <v>17.472000000000001</v>
      </c>
      <c r="I39" s="25">
        <v>34.25</v>
      </c>
      <c r="J39" s="25">
        <f t="shared" ref="J39:J45" si="3">I39*H39</f>
        <v>598.41600000000005</v>
      </c>
    </row>
    <row r="40" spans="1:10" ht="21" x14ac:dyDescent="0.35">
      <c r="A40" s="19">
        <v>32</v>
      </c>
      <c r="B40" s="23" t="s">
        <v>41</v>
      </c>
      <c r="C40" s="23" t="s">
        <v>11</v>
      </c>
      <c r="D40" s="24" t="s">
        <v>35</v>
      </c>
      <c r="E40" s="25">
        <v>11.2</v>
      </c>
      <c r="F40" s="25">
        <f t="shared" si="0"/>
        <v>13.44</v>
      </c>
      <c r="G40" s="25">
        <f t="shared" si="1"/>
        <v>14.784000000000001</v>
      </c>
      <c r="H40" s="26">
        <f t="shared" si="2"/>
        <v>17.472000000000001</v>
      </c>
      <c r="I40" s="25">
        <v>34.25</v>
      </c>
      <c r="J40" s="25">
        <f t="shared" si="3"/>
        <v>598.41600000000005</v>
      </c>
    </row>
    <row r="41" spans="1:10" ht="21" x14ac:dyDescent="0.35">
      <c r="A41" s="19">
        <v>33</v>
      </c>
      <c r="B41" s="23" t="s">
        <v>42</v>
      </c>
      <c r="C41" s="23" t="s">
        <v>11</v>
      </c>
      <c r="D41" s="24" t="s">
        <v>35</v>
      </c>
      <c r="E41" s="25">
        <v>11.2</v>
      </c>
      <c r="F41" s="25">
        <f t="shared" si="0"/>
        <v>13.44</v>
      </c>
      <c r="G41" s="25">
        <f t="shared" si="1"/>
        <v>14.784000000000001</v>
      </c>
      <c r="H41" s="26">
        <f t="shared" si="2"/>
        <v>17.472000000000001</v>
      </c>
      <c r="I41" s="25">
        <v>34.25</v>
      </c>
      <c r="J41" s="25">
        <f t="shared" si="3"/>
        <v>598.41600000000005</v>
      </c>
    </row>
    <row r="42" spans="1:10" ht="21" x14ac:dyDescent="0.35">
      <c r="A42" s="19">
        <v>34</v>
      </c>
      <c r="B42" s="23" t="s">
        <v>43</v>
      </c>
      <c r="C42" s="23" t="s">
        <v>5</v>
      </c>
      <c r="D42" s="24" t="s">
        <v>35</v>
      </c>
      <c r="E42" s="25">
        <v>26</v>
      </c>
      <c r="F42" s="25">
        <f t="shared" si="0"/>
        <v>31.2</v>
      </c>
      <c r="G42" s="25">
        <f t="shared" si="1"/>
        <v>34.32</v>
      </c>
      <c r="H42" s="26">
        <f t="shared" si="2"/>
        <v>40.56</v>
      </c>
      <c r="I42" s="25">
        <v>34.25</v>
      </c>
      <c r="J42" s="25">
        <f t="shared" si="3"/>
        <v>1389.18</v>
      </c>
    </row>
    <row r="43" spans="1:10" ht="21" x14ac:dyDescent="0.35">
      <c r="A43" s="19">
        <v>35</v>
      </c>
      <c r="B43" s="23" t="s">
        <v>44</v>
      </c>
      <c r="C43" s="23" t="s">
        <v>5</v>
      </c>
      <c r="D43" s="24" t="s">
        <v>35</v>
      </c>
      <c r="E43" s="25">
        <v>26</v>
      </c>
      <c r="F43" s="25">
        <f t="shared" si="0"/>
        <v>31.2</v>
      </c>
      <c r="G43" s="25">
        <f t="shared" si="1"/>
        <v>34.32</v>
      </c>
      <c r="H43" s="26">
        <f t="shared" si="2"/>
        <v>40.56</v>
      </c>
      <c r="I43" s="25">
        <v>34.25</v>
      </c>
      <c r="J43" s="25">
        <f t="shared" si="3"/>
        <v>1389.18</v>
      </c>
    </row>
    <row r="44" spans="1:10" ht="21" x14ac:dyDescent="0.35">
      <c r="A44" s="19">
        <v>36</v>
      </c>
      <c r="B44" s="23" t="s">
        <v>45</v>
      </c>
      <c r="C44" s="23" t="s">
        <v>5</v>
      </c>
      <c r="D44" s="24" t="s">
        <v>46</v>
      </c>
      <c r="E44" s="25">
        <v>15</v>
      </c>
      <c r="F44" s="25">
        <f t="shared" si="0"/>
        <v>18</v>
      </c>
      <c r="G44" s="25">
        <f t="shared" si="1"/>
        <v>19.8</v>
      </c>
      <c r="H44" s="26">
        <f t="shared" si="2"/>
        <v>23.400000000000002</v>
      </c>
      <c r="I44" s="25">
        <v>34.25</v>
      </c>
      <c r="J44" s="25">
        <f t="shared" si="3"/>
        <v>801.45</v>
      </c>
    </row>
    <row r="45" spans="1:10" ht="21" x14ac:dyDescent="0.35">
      <c r="A45" s="19">
        <v>37</v>
      </c>
      <c r="B45" s="23" t="s">
        <v>47</v>
      </c>
      <c r="C45" s="23" t="s">
        <v>17</v>
      </c>
      <c r="D45" s="24" t="s">
        <v>46</v>
      </c>
      <c r="E45" s="25">
        <v>15</v>
      </c>
      <c r="F45" s="25">
        <f t="shared" si="0"/>
        <v>18</v>
      </c>
      <c r="G45" s="25">
        <f t="shared" si="1"/>
        <v>19.8</v>
      </c>
      <c r="H45" s="26">
        <f t="shared" si="2"/>
        <v>23.400000000000002</v>
      </c>
      <c r="I45" s="25">
        <v>34.25</v>
      </c>
      <c r="J45" s="25">
        <f t="shared" si="3"/>
        <v>801.45</v>
      </c>
    </row>
    <row r="46" spans="1:10" ht="21" x14ac:dyDescent="0.35">
      <c r="A46" s="19">
        <v>38</v>
      </c>
      <c r="B46" s="27" t="s">
        <v>48</v>
      </c>
      <c r="C46" s="27"/>
      <c r="D46" s="27"/>
      <c r="E46" s="25"/>
      <c r="F46" s="25">
        <f t="shared" si="0"/>
        <v>0</v>
      </c>
      <c r="G46" s="25">
        <f t="shared" si="1"/>
        <v>0</v>
      </c>
      <c r="H46" s="26">
        <f t="shared" si="2"/>
        <v>0</v>
      </c>
      <c r="I46" s="25"/>
      <c r="J46" s="25"/>
    </row>
    <row r="47" spans="1:10" ht="21" x14ac:dyDescent="0.35">
      <c r="A47" s="19">
        <v>39</v>
      </c>
      <c r="B47" s="23"/>
      <c r="C47" s="23" t="s">
        <v>49</v>
      </c>
      <c r="D47" s="24" t="s">
        <v>50</v>
      </c>
      <c r="E47" s="25">
        <v>6</v>
      </c>
      <c r="F47" s="25">
        <f t="shared" si="0"/>
        <v>7.1999999999999993</v>
      </c>
      <c r="G47" s="25">
        <f t="shared" si="1"/>
        <v>7.92</v>
      </c>
      <c r="H47" s="26">
        <f t="shared" si="2"/>
        <v>9.36</v>
      </c>
      <c r="I47" s="25"/>
      <c r="J47" s="25"/>
    </row>
    <row r="48" spans="1:10" ht="21" x14ac:dyDescent="0.35">
      <c r="A48" s="19">
        <v>40</v>
      </c>
      <c r="B48" s="23"/>
      <c r="C48" s="23" t="s">
        <v>51</v>
      </c>
      <c r="D48" s="24" t="s">
        <v>50</v>
      </c>
      <c r="E48" s="25">
        <v>0</v>
      </c>
      <c r="F48" s="25">
        <f t="shared" si="0"/>
        <v>0</v>
      </c>
      <c r="G48" s="25">
        <f t="shared" si="1"/>
        <v>0</v>
      </c>
      <c r="H48" s="26">
        <f t="shared" si="2"/>
        <v>0</v>
      </c>
      <c r="I48" s="25"/>
      <c r="J48" s="25"/>
    </row>
    <row r="49" spans="1:10" ht="21" x14ac:dyDescent="0.35">
      <c r="A49" s="19">
        <v>41</v>
      </c>
      <c r="B49" s="23"/>
      <c r="C49" s="23" t="s">
        <v>52</v>
      </c>
      <c r="D49" s="24" t="s">
        <v>50</v>
      </c>
      <c r="E49" s="25">
        <v>0</v>
      </c>
      <c r="F49" s="25">
        <f t="shared" si="0"/>
        <v>0</v>
      </c>
      <c r="G49" s="25">
        <f t="shared" si="1"/>
        <v>0</v>
      </c>
      <c r="H49" s="26">
        <f t="shared" si="2"/>
        <v>0</v>
      </c>
      <c r="I49" s="25"/>
      <c r="J49" s="25"/>
    </row>
    <row r="50" spans="1:10" ht="21" x14ac:dyDescent="0.35">
      <c r="A50" s="19">
        <v>42</v>
      </c>
      <c r="B50" s="27" t="s">
        <v>53</v>
      </c>
      <c r="C50" s="27"/>
      <c r="D50" s="27"/>
      <c r="E50" s="25"/>
      <c r="F50" s="25">
        <f t="shared" si="0"/>
        <v>0</v>
      </c>
      <c r="G50" s="25">
        <f t="shared" si="1"/>
        <v>0</v>
      </c>
      <c r="H50" s="26">
        <f t="shared" si="2"/>
        <v>0</v>
      </c>
      <c r="I50" s="25"/>
      <c r="J50" s="25"/>
    </row>
    <row r="51" spans="1:10" ht="25.5" x14ac:dyDescent="0.35">
      <c r="A51" s="19">
        <v>43</v>
      </c>
      <c r="B51" s="23" t="s">
        <v>54</v>
      </c>
      <c r="C51" s="23" t="s">
        <v>55</v>
      </c>
      <c r="D51" s="24" t="s">
        <v>56</v>
      </c>
      <c r="E51" s="25"/>
      <c r="F51" s="25">
        <f t="shared" si="0"/>
        <v>0</v>
      </c>
      <c r="G51" s="25">
        <f t="shared" si="1"/>
        <v>0</v>
      </c>
      <c r="H51" s="26">
        <f t="shared" si="2"/>
        <v>0</v>
      </c>
      <c r="I51" s="25"/>
      <c r="J51" s="25"/>
    </row>
    <row r="52" spans="1:10" ht="25.5" x14ac:dyDescent="0.35">
      <c r="A52" s="19">
        <v>44</v>
      </c>
      <c r="B52" s="23" t="s">
        <v>57</v>
      </c>
      <c r="C52" s="23" t="s">
        <v>11</v>
      </c>
      <c r="D52" s="24" t="s">
        <v>56</v>
      </c>
      <c r="E52" s="25">
        <v>6.5</v>
      </c>
      <c r="F52" s="25">
        <f t="shared" si="0"/>
        <v>7.8</v>
      </c>
      <c r="G52" s="25">
        <f t="shared" si="1"/>
        <v>8.58</v>
      </c>
      <c r="H52" s="26">
        <f t="shared" si="2"/>
        <v>10.14</v>
      </c>
      <c r="I52" s="25"/>
      <c r="J52" s="25"/>
    </row>
    <row r="53" spans="1:10" ht="25.5" x14ac:dyDescent="0.35">
      <c r="A53" s="19">
        <v>45</v>
      </c>
      <c r="B53" s="23" t="s">
        <v>58</v>
      </c>
      <c r="C53" s="23" t="s">
        <v>5</v>
      </c>
      <c r="D53" s="24" t="s">
        <v>56</v>
      </c>
      <c r="E53" s="25">
        <v>7.2</v>
      </c>
      <c r="F53" s="25">
        <f t="shared" si="0"/>
        <v>8.64</v>
      </c>
      <c r="G53" s="25">
        <f t="shared" si="1"/>
        <v>9.5040000000000013</v>
      </c>
      <c r="H53" s="26">
        <f t="shared" si="2"/>
        <v>11.232000000000001</v>
      </c>
      <c r="I53" s="25"/>
      <c r="J53" s="25"/>
    </row>
    <row r="54" spans="1:10" ht="25.5" x14ac:dyDescent="0.35">
      <c r="A54" s="19">
        <v>46</v>
      </c>
      <c r="B54" s="23" t="s">
        <v>59</v>
      </c>
      <c r="C54" s="23" t="s">
        <v>5</v>
      </c>
      <c r="D54" s="24" t="s">
        <v>56</v>
      </c>
      <c r="E54" s="25">
        <v>9.5</v>
      </c>
      <c r="F54" s="25">
        <f t="shared" si="0"/>
        <v>11.4</v>
      </c>
      <c r="G54" s="25">
        <f t="shared" si="1"/>
        <v>12.540000000000001</v>
      </c>
      <c r="H54" s="26">
        <f t="shared" si="2"/>
        <v>14.82</v>
      </c>
      <c r="I54" s="25"/>
      <c r="J54" s="25"/>
    </row>
    <row r="55" spans="1:10" ht="25.5" x14ac:dyDescent="0.35">
      <c r="A55" s="19">
        <v>47</v>
      </c>
      <c r="B55" s="23" t="s">
        <v>60</v>
      </c>
      <c r="C55" s="23" t="s">
        <v>5</v>
      </c>
      <c r="D55" s="24" t="s">
        <v>56</v>
      </c>
      <c r="E55" s="25">
        <v>13</v>
      </c>
      <c r="F55" s="25">
        <f t="shared" si="0"/>
        <v>15.6</v>
      </c>
      <c r="G55" s="25">
        <f t="shared" si="1"/>
        <v>17.16</v>
      </c>
      <c r="H55" s="26">
        <f t="shared" si="2"/>
        <v>20.28</v>
      </c>
      <c r="I55" s="25"/>
      <c r="J55" s="25"/>
    </row>
    <row r="56" spans="1:10" ht="21" x14ac:dyDescent="0.35">
      <c r="A56" s="19">
        <v>48</v>
      </c>
      <c r="B56" s="27" t="s">
        <v>61</v>
      </c>
      <c r="C56" s="27"/>
      <c r="D56" s="27"/>
      <c r="E56" s="25"/>
      <c r="F56" s="25">
        <f t="shared" si="0"/>
        <v>0</v>
      </c>
      <c r="G56" s="25">
        <f t="shared" si="1"/>
        <v>0</v>
      </c>
      <c r="H56" s="26">
        <f t="shared" si="2"/>
        <v>0</v>
      </c>
      <c r="I56" s="25"/>
      <c r="J56" s="25"/>
    </row>
    <row r="57" spans="1:10" ht="21" x14ac:dyDescent="0.35">
      <c r="A57" s="19">
        <v>49</v>
      </c>
      <c r="B57" s="23"/>
      <c r="C57" s="23" t="s">
        <v>5</v>
      </c>
      <c r="D57" s="24" t="s">
        <v>62</v>
      </c>
      <c r="E57" s="25">
        <v>42</v>
      </c>
      <c r="F57" s="25">
        <f t="shared" si="0"/>
        <v>50.4</v>
      </c>
      <c r="G57" s="25">
        <f t="shared" si="1"/>
        <v>55.440000000000005</v>
      </c>
      <c r="H57" s="26">
        <f t="shared" si="2"/>
        <v>65.52</v>
      </c>
      <c r="I57" s="28"/>
      <c r="J57" s="25"/>
    </row>
    <row r="58" spans="1:10" ht="21" x14ac:dyDescent="0.35">
      <c r="A58" s="19">
        <v>50</v>
      </c>
      <c r="B58" s="23"/>
      <c r="C58" s="29" t="s">
        <v>5</v>
      </c>
      <c r="D58" s="30" t="s">
        <v>63</v>
      </c>
      <c r="E58" s="25">
        <v>61</v>
      </c>
      <c r="F58" s="25">
        <f t="shared" si="0"/>
        <v>73.2</v>
      </c>
      <c r="G58" s="25">
        <f t="shared" si="1"/>
        <v>80.52000000000001</v>
      </c>
      <c r="H58" s="26">
        <f t="shared" si="2"/>
        <v>95.160000000000011</v>
      </c>
      <c r="I58" s="28"/>
      <c r="J58" s="25"/>
    </row>
    <row r="59" spans="1:10" ht="21" x14ac:dyDescent="0.35">
      <c r="A59" s="19">
        <v>51</v>
      </c>
      <c r="B59" s="23"/>
      <c r="C59" s="23" t="s">
        <v>64</v>
      </c>
      <c r="D59" s="24" t="s">
        <v>65</v>
      </c>
      <c r="E59" s="25">
        <v>81</v>
      </c>
      <c r="F59" s="25">
        <f t="shared" si="0"/>
        <v>97.2</v>
      </c>
      <c r="G59" s="25">
        <f t="shared" si="1"/>
        <v>106.92000000000002</v>
      </c>
      <c r="H59" s="26">
        <f t="shared" si="2"/>
        <v>126.36000000000001</v>
      </c>
      <c r="I59" s="28"/>
      <c r="J59" s="25"/>
    </row>
    <row r="60" spans="1:10" ht="21" x14ac:dyDescent="0.35">
      <c r="A60" s="19">
        <v>52</v>
      </c>
      <c r="B60" s="27" t="s">
        <v>66</v>
      </c>
      <c r="C60" s="27"/>
      <c r="D60" s="27"/>
      <c r="E60" s="25"/>
      <c r="F60" s="25">
        <f t="shared" si="0"/>
        <v>0</v>
      </c>
      <c r="G60" s="25">
        <f t="shared" si="1"/>
        <v>0</v>
      </c>
      <c r="H60" s="26">
        <f t="shared" si="2"/>
        <v>0</v>
      </c>
      <c r="I60" s="25"/>
      <c r="J60" s="25"/>
    </row>
    <row r="61" spans="1:10" ht="21" x14ac:dyDescent="0.35">
      <c r="A61" s="19">
        <v>53</v>
      </c>
      <c r="B61" s="23" t="s">
        <v>67</v>
      </c>
      <c r="C61" s="23" t="s">
        <v>64</v>
      </c>
      <c r="D61" s="24" t="s">
        <v>68</v>
      </c>
      <c r="E61" s="25">
        <v>113</v>
      </c>
      <c r="F61" s="25">
        <f t="shared" si="0"/>
        <v>135.6</v>
      </c>
      <c r="G61" s="25">
        <f t="shared" si="1"/>
        <v>149.16</v>
      </c>
      <c r="H61" s="26">
        <f t="shared" si="2"/>
        <v>176.28</v>
      </c>
      <c r="I61" s="28"/>
      <c r="J61" s="25"/>
    </row>
    <row r="62" spans="1:10" ht="21" x14ac:dyDescent="0.35">
      <c r="A62" s="19">
        <v>54</v>
      </c>
      <c r="B62" s="27" t="s">
        <v>69</v>
      </c>
      <c r="C62" s="27"/>
      <c r="D62" s="27"/>
      <c r="E62" s="25"/>
      <c r="F62" s="25">
        <f t="shared" si="0"/>
        <v>0</v>
      </c>
      <c r="G62" s="25">
        <f t="shared" si="1"/>
        <v>0</v>
      </c>
      <c r="H62" s="26">
        <f t="shared" si="2"/>
        <v>0</v>
      </c>
      <c r="I62" s="25"/>
      <c r="J62" s="25"/>
    </row>
    <row r="63" spans="1:10" ht="25.5" x14ac:dyDescent="0.35">
      <c r="A63" s="19">
        <v>55</v>
      </c>
      <c r="B63" s="23" t="s">
        <v>70</v>
      </c>
      <c r="C63" s="23"/>
      <c r="D63" s="24" t="s">
        <v>71</v>
      </c>
      <c r="E63" s="25">
        <v>1135</v>
      </c>
      <c r="F63" s="25">
        <f t="shared" si="0"/>
        <v>1362</v>
      </c>
      <c r="G63" s="25">
        <f t="shared" si="1"/>
        <v>1498.2</v>
      </c>
      <c r="H63" s="26">
        <f t="shared" si="2"/>
        <v>1770.6000000000001</v>
      </c>
      <c r="I63" s="28"/>
      <c r="J63" s="25"/>
    </row>
    <row r="64" spans="1:10" ht="25.5" x14ac:dyDescent="0.35">
      <c r="A64" s="19">
        <v>56</v>
      </c>
      <c r="B64" s="23" t="s">
        <v>72</v>
      </c>
      <c r="C64" s="23"/>
      <c r="D64" s="24" t="s">
        <v>73</v>
      </c>
      <c r="E64" s="25">
        <v>1219</v>
      </c>
      <c r="F64" s="25">
        <f t="shared" si="0"/>
        <v>1462.8</v>
      </c>
      <c r="G64" s="25">
        <f t="shared" si="1"/>
        <v>1609.0800000000002</v>
      </c>
      <c r="H64" s="26">
        <f t="shared" si="2"/>
        <v>1901.64</v>
      </c>
      <c r="I64" s="28"/>
      <c r="J64" s="25"/>
    </row>
    <row r="65" spans="1:10" ht="25.5" x14ac:dyDescent="0.35">
      <c r="A65" s="19">
        <v>57</v>
      </c>
      <c r="B65" s="23" t="s">
        <v>74</v>
      </c>
      <c r="C65" s="23"/>
      <c r="D65" s="24" t="s">
        <v>71</v>
      </c>
      <c r="E65" s="25">
        <v>1432</v>
      </c>
      <c r="F65" s="25">
        <f t="shared" si="0"/>
        <v>1718.3999999999999</v>
      </c>
      <c r="G65" s="25">
        <f t="shared" si="1"/>
        <v>1890.24</v>
      </c>
      <c r="H65" s="26">
        <f t="shared" si="2"/>
        <v>2233.92</v>
      </c>
      <c r="I65" s="28"/>
      <c r="J65" s="25"/>
    </row>
    <row r="66" spans="1:10" ht="25.5" x14ac:dyDescent="0.35">
      <c r="A66" s="19">
        <v>58</v>
      </c>
      <c r="B66" s="23" t="s">
        <v>75</v>
      </c>
      <c r="C66" s="23"/>
      <c r="D66" s="24" t="s">
        <v>73</v>
      </c>
      <c r="E66" s="25">
        <v>1558</v>
      </c>
      <c r="F66" s="25">
        <f t="shared" si="0"/>
        <v>1869.6</v>
      </c>
      <c r="G66" s="25">
        <f t="shared" si="1"/>
        <v>2056.56</v>
      </c>
      <c r="H66" s="26">
        <f t="shared" si="2"/>
        <v>2430.48</v>
      </c>
      <c r="I66" s="28"/>
      <c r="J66" s="25"/>
    </row>
    <row r="67" spans="1:10" ht="25.5" x14ac:dyDescent="0.35">
      <c r="A67" s="19">
        <v>59</v>
      </c>
      <c r="B67" s="23" t="s">
        <v>76</v>
      </c>
      <c r="C67" s="23"/>
      <c r="D67" s="24" t="s">
        <v>71</v>
      </c>
      <c r="E67" s="25">
        <v>1750</v>
      </c>
      <c r="F67" s="25">
        <f t="shared" si="0"/>
        <v>2100</v>
      </c>
      <c r="G67" s="25">
        <f t="shared" si="1"/>
        <v>2310</v>
      </c>
      <c r="H67" s="26">
        <f t="shared" si="2"/>
        <v>2730</v>
      </c>
      <c r="I67" s="28"/>
      <c r="J67" s="25"/>
    </row>
    <row r="68" spans="1:10" ht="25.5" x14ac:dyDescent="0.35">
      <c r="A68" s="19">
        <v>60</v>
      </c>
      <c r="B68" s="23" t="s">
        <v>77</v>
      </c>
      <c r="C68" s="23"/>
      <c r="D68" s="24" t="s">
        <v>73</v>
      </c>
      <c r="E68" s="25">
        <v>2252</v>
      </c>
      <c r="F68" s="25">
        <f t="shared" si="0"/>
        <v>2702.4</v>
      </c>
      <c r="G68" s="25">
        <f t="shared" si="1"/>
        <v>2972.6400000000003</v>
      </c>
      <c r="H68" s="26">
        <f t="shared" si="2"/>
        <v>3513.1200000000003</v>
      </c>
      <c r="I68" s="28"/>
      <c r="J68" s="25"/>
    </row>
    <row r="69" spans="1:10" ht="25.5" x14ac:dyDescent="0.35">
      <c r="A69" s="19">
        <v>61</v>
      </c>
      <c r="B69" s="23" t="s">
        <v>78</v>
      </c>
      <c r="C69" s="23"/>
      <c r="D69" s="24" t="s">
        <v>79</v>
      </c>
      <c r="E69" s="25">
        <v>2060</v>
      </c>
      <c r="F69" s="25">
        <f t="shared" si="0"/>
        <v>2472</v>
      </c>
      <c r="G69" s="25">
        <f t="shared" si="1"/>
        <v>2719.2000000000003</v>
      </c>
      <c r="H69" s="26">
        <f t="shared" si="2"/>
        <v>3213.6</v>
      </c>
      <c r="I69" s="28"/>
      <c r="J69" s="25"/>
    </row>
    <row r="70" spans="1:10" ht="25.5" x14ac:dyDescent="0.35">
      <c r="A70" s="19">
        <v>62</v>
      </c>
      <c r="B70" s="23" t="s">
        <v>80</v>
      </c>
      <c r="C70" s="23"/>
      <c r="D70" s="24" t="s">
        <v>81</v>
      </c>
      <c r="E70" s="25">
        <v>1735</v>
      </c>
      <c r="F70" s="25">
        <f t="shared" si="0"/>
        <v>2082</v>
      </c>
      <c r="G70" s="25">
        <f t="shared" si="1"/>
        <v>2290.2000000000003</v>
      </c>
      <c r="H70" s="26">
        <f t="shared" si="2"/>
        <v>2706.6</v>
      </c>
      <c r="I70" s="28"/>
      <c r="J70" s="25"/>
    </row>
    <row r="71" spans="1:10" ht="25.5" x14ac:dyDescent="0.35">
      <c r="A71" s="19">
        <v>63</v>
      </c>
      <c r="B71" s="23" t="s">
        <v>82</v>
      </c>
      <c r="C71" s="23"/>
      <c r="D71" s="24" t="s">
        <v>83</v>
      </c>
      <c r="E71" s="25">
        <v>0</v>
      </c>
      <c r="F71" s="25">
        <f t="shared" si="0"/>
        <v>0</v>
      </c>
      <c r="G71" s="25">
        <f t="shared" si="1"/>
        <v>0</v>
      </c>
      <c r="H71" s="26">
        <f t="shared" si="2"/>
        <v>0</v>
      </c>
      <c r="I71" s="28"/>
      <c r="J71" s="25"/>
    </row>
    <row r="72" spans="1:10" ht="25.5" x14ac:dyDescent="0.35">
      <c r="A72" s="19">
        <v>64</v>
      </c>
      <c r="B72" s="23" t="s">
        <v>84</v>
      </c>
      <c r="C72" s="23"/>
      <c r="D72" s="24" t="s">
        <v>85</v>
      </c>
      <c r="E72" s="25">
        <v>0</v>
      </c>
      <c r="F72" s="25">
        <f t="shared" si="0"/>
        <v>0</v>
      </c>
      <c r="G72" s="25">
        <f t="shared" si="1"/>
        <v>0</v>
      </c>
      <c r="H72" s="26">
        <f t="shared" si="2"/>
        <v>0</v>
      </c>
      <c r="I72" s="28"/>
      <c r="J72" s="25"/>
    </row>
    <row r="73" spans="1:10" ht="25.5" x14ac:dyDescent="0.35">
      <c r="A73" s="19">
        <v>65</v>
      </c>
      <c r="B73" s="23" t="s">
        <v>86</v>
      </c>
      <c r="C73" s="23"/>
      <c r="D73" s="24" t="s">
        <v>83</v>
      </c>
      <c r="E73" s="25">
        <v>0</v>
      </c>
      <c r="F73" s="25">
        <f t="shared" si="0"/>
        <v>0</v>
      </c>
      <c r="G73" s="25">
        <f t="shared" si="1"/>
        <v>0</v>
      </c>
      <c r="H73" s="26">
        <f t="shared" si="2"/>
        <v>0</v>
      </c>
      <c r="I73" s="28"/>
      <c r="J73" s="25"/>
    </row>
    <row r="74" spans="1:10" ht="25.5" x14ac:dyDescent="0.35">
      <c r="A74" s="19">
        <v>66</v>
      </c>
      <c r="B74" s="23" t="s">
        <v>87</v>
      </c>
      <c r="C74" s="23"/>
      <c r="D74" s="24" t="s">
        <v>88</v>
      </c>
      <c r="E74" s="25">
        <v>0</v>
      </c>
      <c r="F74" s="25">
        <f t="shared" si="0"/>
        <v>0</v>
      </c>
      <c r="G74" s="25">
        <f t="shared" si="1"/>
        <v>0</v>
      </c>
      <c r="H74" s="26">
        <f t="shared" si="2"/>
        <v>0</v>
      </c>
      <c r="I74" s="28"/>
      <c r="J74" s="25"/>
    </row>
    <row r="75" spans="1:10" ht="21" x14ac:dyDescent="0.35">
      <c r="A75" s="19">
        <v>67</v>
      </c>
      <c r="B75" s="27" t="s">
        <v>89</v>
      </c>
      <c r="C75" s="27"/>
      <c r="D75" s="27"/>
      <c r="E75" s="25"/>
      <c r="F75" s="25">
        <f t="shared" ref="F75:F87" si="4">E75*1.2</f>
        <v>0</v>
      </c>
      <c r="G75" s="25">
        <f t="shared" ref="G75:G82" si="5">F75*1.1</f>
        <v>0</v>
      </c>
      <c r="H75" s="26">
        <f t="shared" ref="H75:H82" si="6">F75*1.3</f>
        <v>0</v>
      </c>
      <c r="I75" s="25"/>
      <c r="J75" s="25"/>
    </row>
    <row r="76" spans="1:10" ht="25.5" x14ac:dyDescent="0.35">
      <c r="A76" s="19">
        <v>68</v>
      </c>
      <c r="B76" s="23">
        <v>301</v>
      </c>
      <c r="C76" s="23" t="s">
        <v>90</v>
      </c>
      <c r="D76" s="24" t="s">
        <v>91</v>
      </c>
      <c r="E76" s="25">
        <v>13</v>
      </c>
      <c r="F76" s="25">
        <f t="shared" si="4"/>
        <v>15.6</v>
      </c>
      <c r="G76" s="25">
        <f t="shared" si="5"/>
        <v>17.16</v>
      </c>
      <c r="H76" s="26">
        <f t="shared" si="6"/>
        <v>20.28</v>
      </c>
      <c r="I76" s="25"/>
      <c r="J76" s="25"/>
    </row>
    <row r="77" spans="1:10" ht="25.5" x14ac:dyDescent="0.35">
      <c r="A77" s="19">
        <v>69</v>
      </c>
      <c r="B77" s="23"/>
      <c r="C77" s="23" t="s">
        <v>92</v>
      </c>
      <c r="D77" s="24" t="s">
        <v>91</v>
      </c>
      <c r="E77" s="25">
        <v>19.5</v>
      </c>
      <c r="F77" s="25">
        <f t="shared" si="4"/>
        <v>23.4</v>
      </c>
      <c r="G77" s="25">
        <f t="shared" si="5"/>
        <v>25.740000000000002</v>
      </c>
      <c r="H77" s="26">
        <f t="shared" si="6"/>
        <v>30.419999999999998</v>
      </c>
      <c r="I77" s="25"/>
      <c r="J77" s="25"/>
    </row>
    <row r="78" spans="1:10" ht="21" x14ac:dyDescent="0.35">
      <c r="A78" s="19"/>
      <c r="B78" s="23"/>
      <c r="C78" s="23" t="s">
        <v>93</v>
      </c>
      <c r="D78" s="24" t="s">
        <v>94</v>
      </c>
      <c r="E78" s="25">
        <v>14</v>
      </c>
      <c r="F78" s="25">
        <f t="shared" si="4"/>
        <v>16.8</v>
      </c>
      <c r="G78" s="25">
        <f t="shared" si="5"/>
        <v>18.480000000000004</v>
      </c>
      <c r="H78" s="26">
        <f t="shared" si="6"/>
        <v>21.840000000000003</v>
      </c>
      <c r="I78" s="25"/>
      <c r="J78" s="25"/>
    </row>
    <row r="79" spans="1:10" ht="25.5" x14ac:dyDescent="0.35">
      <c r="A79" s="19">
        <v>70</v>
      </c>
      <c r="B79" s="23">
        <v>305</v>
      </c>
      <c r="C79" s="23" t="s">
        <v>95</v>
      </c>
      <c r="D79" s="24" t="s">
        <v>91</v>
      </c>
      <c r="E79" s="25">
        <v>21</v>
      </c>
      <c r="F79" s="25">
        <f t="shared" si="4"/>
        <v>25.2</v>
      </c>
      <c r="G79" s="25">
        <f t="shared" si="5"/>
        <v>27.720000000000002</v>
      </c>
      <c r="H79" s="26">
        <f t="shared" si="6"/>
        <v>32.76</v>
      </c>
      <c r="I79" s="25"/>
      <c r="J79" s="25"/>
    </row>
    <row r="80" spans="1:10" ht="21" x14ac:dyDescent="0.35">
      <c r="A80" s="19"/>
      <c r="B80" s="23"/>
      <c r="C80" s="23" t="s">
        <v>95</v>
      </c>
      <c r="D80" s="24" t="s">
        <v>94</v>
      </c>
      <c r="E80" s="25">
        <v>16</v>
      </c>
      <c r="F80" s="25">
        <f t="shared" si="4"/>
        <v>19.2</v>
      </c>
      <c r="G80" s="25">
        <f t="shared" si="5"/>
        <v>21.12</v>
      </c>
      <c r="H80" s="26">
        <f t="shared" si="6"/>
        <v>24.96</v>
      </c>
      <c r="I80" s="25"/>
      <c r="J80" s="25"/>
    </row>
    <row r="81" spans="1:10" ht="25.5" x14ac:dyDescent="0.35">
      <c r="A81" s="19">
        <v>71</v>
      </c>
      <c r="B81" s="23"/>
      <c r="C81" s="23" t="s">
        <v>95</v>
      </c>
      <c r="D81" s="24" t="s">
        <v>96</v>
      </c>
      <c r="E81" s="25">
        <v>20</v>
      </c>
      <c r="F81" s="25">
        <f t="shared" si="4"/>
        <v>24</v>
      </c>
      <c r="G81" s="25">
        <f t="shared" si="5"/>
        <v>26.400000000000002</v>
      </c>
      <c r="H81" s="26">
        <f t="shared" si="6"/>
        <v>31.200000000000003</v>
      </c>
      <c r="I81" s="25"/>
      <c r="J81" s="25"/>
    </row>
    <row r="82" spans="1:10" ht="25.5" x14ac:dyDescent="0.35">
      <c r="A82" s="19">
        <v>72</v>
      </c>
      <c r="B82" s="23"/>
      <c r="C82" s="23" t="s">
        <v>97</v>
      </c>
      <c r="D82" s="24" t="s">
        <v>98</v>
      </c>
      <c r="E82" s="25">
        <v>22.85</v>
      </c>
      <c r="F82" s="25">
        <f t="shared" si="4"/>
        <v>27.42</v>
      </c>
      <c r="G82" s="25">
        <f t="shared" si="5"/>
        <v>30.162000000000003</v>
      </c>
      <c r="H82" s="26">
        <f t="shared" si="6"/>
        <v>35.646000000000001</v>
      </c>
      <c r="I82" s="25"/>
      <c r="J82" s="25"/>
    </row>
    <row r="83" spans="1:10" ht="25.5" x14ac:dyDescent="0.35">
      <c r="A83" s="19">
        <v>73</v>
      </c>
      <c r="B83" s="23">
        <v>304</v>
      </c>
      <c r="C83" s="23" t="s">
        <v>92</v>
      </c>
      <c r="D83" s="24" t="s">
        <v>99</v>
      </c>
      <c r="E83" s="25">
        <v>0</v>
      </c>
      <c r="F83" s="25">
        <f t="shared" si="4"/>
        <v>0</v>
      </c>
      <c r="G83" s="25"/>
      <c r="H83" s="26">
        <f t="shared" ref="H83:H138" si="7">F83*1.4</f>
        <v>0</v>
      </c>
      <c r="I83" s="25"/>
      <c r="J83" s="25"/>
    </row>
    <row r="84" spans="1:10" ht="25.5" x14ac:dyDescent="0.35">
      <c r="A84" s="19">
        <v>74</v>
      </c>
      <c r="B84" s="23"/>
      <c r="C84" s="23" t="s">
        <v>100</v>
      </c>
      <c r="D84" s="24" t="s">
        <v>91</v>
      </c>
      <c r="E84" s="25">
        <v>0</v>
      </c>
      <c r="F84" s="25">
        <f t="shared" si="4"/>
        <v>0</v>
      </c>
      <c r="G84" s="25"/>
      <c r="H84" s="26">
        <f t="shared" si="7"/>
        <v>0</v>
      </c>
      <c r="I84" s="25"/>
      <c r="J84" s="25"/>
    </row>
    <row r="85" spans="1:10" ht="25.5" x14ac:dyDescent="0.35">
      <c r="A85" s="19">
        <v>75</v>
      </c>
      <c r="B85" s="23"/>
      <c r="C85" s="23" t="s">
        <v>101</v>
      </c>
      <c r="D85" s="24" t="s">
        <v>91</v>
      </c>
      <c r="E85" s="25">
        <v>0</v>
      </c>
      <c r="F85" s="25">
        <f t="shared" si="4"/>
        <v>0</v>
      </c>
      <c r="G85" s="25"/>
      <c r="H85" s="26">
        <f t="shared" si="7"/>
        <v>0</v>
      </c>
      <c r="I85" s="25"/>
      <c r="J85" s="25"/>
    </row>
    <row r="86" spans="1:10" ht="25.5" x14ac:dyDescent="0.35">
      <c r="A86" s="19">
        <v>76</v>
      </c>
      <c r="B86" s="23"/>
      <c r="C86" s="23" t="s">
        <v>102</v>
      </c>
      <c r="D86" s="24" t="s">
        <v>91</v>
      </c>
      <c r="E86" s="25">
        <v>0</v>
      </c>
      <c r="F86" s="25">
        <f t="shared" si="4"/>
        <v>0</v>
      </c>
      <c r="G86" s="25"/>
      <c r="H86" s="26">
        <f t="shared" si="7"/>
        <v>0</v>
      </c>
      <c r="I86" s="25"/>
      <c r="J86" s="25"/>
    </row>
    <row r="87" spans="1:10" ht="25.5" x14ac:dyDescent="0.35">
      <c r="A87" s="19">
        <v>77</v>
      </c>
      <c r="B87" s="23"/>
      <c r="C87" s="23" t="s">
        <v>103</v>
      </c>
      <c r="D87" s="24" t="s">
        <v>91</v>
      </c>
      <c r="E87" s="25">
        <v>0</v>
      </c>
      <c r="F87" s="25">
        <f t="shared" si="4"/>
        <v>0</v>
      </c>
      <c r="G87" s="25"/>
      <c r="H87" s="26">
        <f t="shared" si="7"/>
        <v>0</v>
      </c>
      <c r="I87" s="25"/>
      <c r="J87" s="25"/>
    </row>
    <row r="88" spans="1:10" ht="21" x14ac:dyDescent="0.35">
      <c r="A88" s="19">
        <v>78</v>
      </c>
      <c r="B88" s="27" t="s">
        <v>104</v>
      </c>
      <c r="C88" s="27"/>
      <c r="D88" s="27"/>
      <c r="E88" s="25"/>
      <c r="F88" s="31"/>
      <c r="G88" s="25"/>
      <c r="H88" s="26">
        <f t="shared" si="7"/>
        <v>0</v>
      </c>
      <c r="I88" s="25"/>
      <c r="J88" s="25"/>
    </row>
    <row r="89" spans="1:10" ht="38.25" x14ac:dyDescent="0.35">
      <c r="A89" s="19">
        <v>79</v>
      </c>
      <c r="B89" s="23"/>
      <c r="C89" s="23"/>
      <c r="D89" s="24" t="s">
        <v>105</v>
      </c>
      <c r="E89" s="52"/>
      <c r="F89" s="53"/>
      <c r="G89" s="53"/>
      <c r="H89" s="26">
        <f t="shared" si="7"/>
        <v>0</v>
      </c>
      <c r="I89" s="25"/>
      <c r="J89" s="25"/>
    </row>
    <row r="90" spans="1:10" ht="38.25" x14ac:dyDescent="0.35">
      <c r="A90" s="19">
        <v>80</v>
      </c>
      <c r="B90" s="23"/>
      <c r="C90" s="23"/>
      <c r="D90" s="24" t="s">
        <v>106</v>
      </c>
      <c r="E90" s="54"/>
      <c r="F90" s="55"/>
      <c r="G90" s="55"/>
      <c r="H90" s="26">
        <f t="shared" si="7"/>
        <v>0</v>
      </c>
      <c r="I90" s="25"/>
      <c r="J90" s="25"/>
    </row>
    <row r="91" spans="1:10" ht="21" x14ac:dyDescent="0.35">
      <c r="A91" s="19">
        <v>81</v>
      </c>
      <c r="B91" s="32"/>
      <c r="C91" s="32"/>
      <c r="D91" s="33" t="s">
        <v>107</v>
      </c>
      <c r="E91" s="54"/>
      <c r="F91" s="55"/>
      <c r="G91" s="55"/>
      <c r="H91" s="26">
        <f t="shared" si="7"/>
        <v>0</v>
      </c>
      <c r="I91" s="25"/>
      <c r="J91" s="25"/>
    </row>
    <row r="92" spans="1:10" ht="21" x14ac:dyDescent="0.35">
      <c r="A92" s="19">
        <v>82</v>
      </c>
      <c r="B92" s="32"/>
      <c r="C92" s="32"/>
      <c r="D92" s="33"/>
      <c r="E92" s="54"/>
      <c r="F92" s="55"/>
      <c r="G92" s="55"/>
      <c r="H92" s="26">
        <f t="shared" si="7"/>
        <v>0</v>
      </c>
      <c r="I92" s="25"/>
      <c r="J92" s="25"/>
    </row>
    <row r="93" spans="1:10" ht="21" x14ac:dyDescent="0.35">
      <c r="A93" s="19">
        <v>83</v>
      </c>
      <c r="B93" s="32"/>
      <c r="C93" s="32"/>
      <c r="D93" s="33"/>
      <c r="E93" s="54"/>
      <c r="F93" s="55"/>
      <c r="G93" s="55"/>
      <c r="H93" s="26">
        <f t="shared" si="7"/>
        <v>0</v>
      </c>
      <c r="I93" s="25"/>
      <c r="J93" s="25"/>
    </row>
    <row r="94" spans="1:10" ht="21" x14ac:dyDescent="0.35">
      <c r="A94" s="19">
        <v>84</v>
      </c>
      <c r="B94" s="32"/>
      <c r="C94" s="32"/>
      <c r="D94" s="33" t="s">
        <v>108</v>
      </c>
      <c r="E94" s="54"/>
      <c r="F94" s="55"/>
      <c r="G94" s="55"/>
      <c r="H94" s="26">
        <f t="shared" si="7"/>
        <v>0</v>
      </c>
      <c r="I94" s="25"/>
      <c r="J94" s="25"/>
    </row>
    <row r="95" spans="1:10" ht="21" x14ac:dyDescent="0.35">
      <c r="A95" s="19">
        <v>85</v>
      </c>
      <c r="B95" s="32"/>
      <c r="C95" s="32"/>
      <c r="D95" s="33"/>
      <c r="E95" s="54"/>
      <c r="F95" s="55"/>
      <c r="G95" s="55"/>
      <c r="H95" s="26">
        <f t="shared" si="7"/>
        <v>0</v>
      </c>
      <c r="I95" s="25"/>
      <c r="J95" s="25"/>
    </row>
    <row r="96" spans="1:10" ht="21" x14ac:dyDescent="0.35">
      <c r="A96" s="19">
        <v>86</v>
      </c>
      <c r="B96" s="32"/>
      <c r="C96" s="32"/>
      <c r="D96" s="33"/>
      <c r="E96" s="54"/>
      <c r="F96" s="55"/>
      <c r="G96" s="55"/>
      <c r="H96" s="26">
        <f t="shared" si="7"/>
        <v>0</v>
      </c>
      <c r="I96" s="25"/>
      <c r="J96" s="25"/>
    </row>
    <row r="97" spans="1:10" ht="21" x14ac:dyDescent="0.35">
      <c r="A97" s="19">
        <v>87</v>
      </c>
      <c r="B97" s="32"/>
      <c r="C97" s="32"/>
      <c r="D97" s="33" t="s">
        <v>109</v>
      </c>
      <c r="E97" s="54"/>
      <c r="F97" s="55"/>
      <c r="G97" s="55"/>
      <c r="H97" s="26">
        <f t="shared" si="7"/>
        <v>0</v>
      </c>
      <c r="I97" s="25"/>
      <c r="J97" s="25"/>
    </row>
    <row r="98" spans="1:10" ht="21" x14ac:dyDescent="0.35">
      <c r="A98" s="19">
        <v>88</v>
      </c>
      <c r="B98" s="32"/>
      <c r="C98" s="32"/>
      <c r="D98" s="33"/>
      <c r="E98" s="54"/>
      <c r="F98" s="55"/>
      <c r="G98" s="55"/>
      <c r="H98" s="26">
        <f t="shared" si="7"/>
        <v>0</v>
      </c>
      <c r="I98" s="25"/>
      <c r="J98" s="25"/>
    </row>
    <row r="99" spans="1:10" ht="21" x14ac:dyDescent="0.35">
      <c r="A99" s="19">
        <v>89</v>
      </c>
      <c r="B99" s="32"/>
      <c r="C99" s="32"/>
      <c r="D99" s="33"/>
      <c r="E99" s="54"/>
      <c r="F99" s="55"/>
      <c r="G99" s="55"/>
      <c r="H99" s="26">
        <f t="shared" si="7"/>
        <v>0</v>
      </c>
      <c r="I99" s="25"/>
      <c r="J99" s="25"/>
    </row>
    <row r="100" spans="1:10" ht="21" x14ac:dyDescent="0.35">
      <c r="A100" s="19">
        <v>90</v>
      </c>
      <c r="B100" s="32"/>
      <c r="C100" s="32"/>
      <c r="D100" s="33" t="s">
        <v>110</v>
      </c>
      <c r="E100" s="54"/>
      <c r="F100" s="55"/>
      <c r="G100" s="55"/>
      <c r="H100" s="26">
        <f t="shared" si="7"/>
        <v>0</v>
      </c>
      <c r="I100" s="25"/>
      <c r="J100" s="25"/>
    </row>
    <row r="101" spans="1:10" ht="21" x14ac:dyDescent="0.35">
      <c r="A101" s="19">
        <v>91</v>
      </c>
      <c r="B101" s="32"/>
      <c r="C101" s="32"/>
      <c r="D101" s="33"/>
      <c r="E101" s="54"/>
      <c r="F101" s="55"/>
      <c r="G101" s="55"/>
      <c r="H101" s="26">
        <f t="shared" si="7"/>
        <v>0</v>
      </c>
      <c r="I101" s="25"/>
      <c r="J101" s="25"/>
    </row>
    <row r="102" spans="1:10" ht="21" x14ac:dyDescent="0.35">
      <c r="A102" s="19">
        <v>92</v>
      </c>
      <c r="B102" s="32"/>
      <c r="C102" s="32"/>
      <c r="D102" s="33"/>
      <c r="E102" s="54"/>
      <c r="F102" s="55"/>
      <c r="G102" s="55"/>
      <c r="H102" s="26">
        <f t="shared" si="7"/>
        <v>0</v>
      </c>
      <c r="I102" s="25"/>
      <c r="J102" s="25"/>
    </row>
    <row r="103" spans="1:10" ht="21" x14ac:dyDescent="0.35">
      <c r="A103" s="19">
        <v>93</v>
      </c>
      <c r="B103" s="32"/>
      <c r="C103" s="32"/>
      <c r="D103" s="33" t="s">
        <v>111</v>
      </c>
      <c r="E103" s="54"/>
      <c r="F103" s="55"/>
      <c r="G103" s="55"/>
      <c r="H103" s="26">
        <f t="shared" si="7"/>
        <v>0</v>
      </c>
      <c r="I103" s="25"/>
      <c r="J103" s="25"/>
    </row>
    <row r="104" spans="1:10" ht="21" x14ac:dyDescent="0.35">
      <c r="A104" s="19">
        <v>94</v>
      </c>
      <c r="B104" s="32"/>
      <c r="C104" s="32"/>
      <c r="D104" s="33"/>
      <c r="E104" s="54"/>
      <c r="F104" s="55"/>
      <c r="G104" s="55"/>
      <c r="H104" s="26">
        <f t="shared" si="7"/>
        <v>0</v>
      </c>
      <c r="I104" s="25"/>
      <c r="J104" s="25"/>
    </row>
    <row r="105" spans="1:10" ht="21" x14ac:dyDescent="0.35">
      <c r="A105" s="19">
        <v>95</v>
      </c>
      <c r="B105" s="32"/>
      <c r="C105" s="32"/>
      <c r="D105" s="33"/>
      <c r="E105" s="54"/>
      <c r="F105" s="55"/>
      <c r="G105" s="55"/>
      <c r="H105" s="26">
        <f t="shared" si="7"/>
        <v>0</v>
      </c>
      <c r="I105" s="25"/>
      <c r="J105" s="25"/>
    </row>
    <row r="106" spans="1:10" ht="38.25" x14ac:dyDescent="0.35">
      <c r="A106" s="19">
        <v>96</v>
      </c>
      <c r="B106" s="23"/>
      <c r="C106" s="23"/>
      <c r="D106" s="24" t="s">
        <v>112</v>
      </c>
      <c r="E106" s="54"/>
      <c r="F106" s="55"/>
      <c r="G106" s="55"/>
      <c r="H106" s="26">
        <f t="shared" si="7"/>
        <v>0</v>
      </c>
      <c r="I106" s="25"/>
      <c r="J106" s="25"/>
    </row>
    <row r="107" spans="1:10" ht="21" x14ac:dyDescent="0.35">
      <c r="A107" s="19">
        <v>97</v>
      </c>
      <c r="B107" s="32"/>
      <c r="C107" s="32"/>
      <c r="D107" s="33" t="s">
        <v>113</v>
      </c>
      <c r="E107" s="54"/>
      <c r="F107" s="55"/>
      <c r="G107" s="55"/>
      <c r="H107" s="26">
        <f t="shared" si="7"/>
        <v>0</v>
      </c>
      <c r="I107" s="25"/>
      <c r="J107" s="25"/>
    </row>
    <row r="108" spans="1:10" ht="21" x14ac:dyDescent="0.35">
      <c r="A108" s="19">
        <v>98</v>
      </c>
      <c r="B108" s="32"/>
      <c r="C108" s="32"/>
      <c r="D108" s="33"/>
      <c r="E108" s="54"/>
      <c r="F108" s="55"/>
      <c r="G108" s="55"/>
      <c r="H108" s="26">
        <f t="shared" si="7"/>
        <v>0</v>
      </c>
      <c r="I108" s="25"/>
      <c r="J108" s="25"/>
    </row>
    <row r="109" spans="1:10" ht="21" x14ac:dyDescent="0.35">
      <c r="A109" s="19">
        <v>99</v>
      </c>
      <c r="B109" s="32"/>
      <c r="C109" s="32"/>
      <c r="D109" s="33" t="s">
        <v>114</v>
      </c>
      <c r="E109" s="54"/>
      <c r="F109" s="55"/>
      <c r="G109" s="55"/>
      <c r="H109" s="26">
        <f t="shared" si="7"/>
        <v>0</v>
      </c>
      <c r="I109" s="25"/>
      <c r="J109" s="25"/>
    </row>
    <row r="110" spans="1:10" ht="21" x14ac:dyDescent="0.35">
      <c r="A110" s="19">
        <v>100</v>
      </c>
      <c r="B110" s="32"/>
      <c r="C110" s="32"/>
      <c r="D110" s="33"/>
      <c r="E110" s="56"/>
      <c r="F110" s="57"/>
      <c r="G110" s="57"/>
      <c r="H110" s="26">
        <f t="shared" si="7"/>
        <v>0</v>
      </c>
      <c r="I110" s="25"/>
      <c r="J110" s="25"/>
    </row>
    <row r="111" spans="1:10" ht="21" x14ac:dyDescent="0.35">
      <c r="A111" s="19">
        <v>101</v>
      </c>
      <c r="B111" s="27" t="s">
        <v>115</v>
      </c>
      <c r="C111" s="27"/>
      <c r="D111" s="27"/>
      <c r="E111" s="25"/>
      <c r="F111" s="34"/>
      <c r="G111" s="25"/>
      <c r="H111" s="26">
        <f t="shared" si="7"/>
        <v>0</v>
      </c>
      <c r="I111" s="25"/>
      <c r="J111" s="25"/>
    </row>
    <row r="112" spans="1:10" ht="21" x14ac:dyDescent="0.35">
      <c r="A112" s="19">
        <v>102</v>
      </c>
      <c r="B112" s="23"/>
      <c r="C112" s="24"/>
      <c r="D112" s="24" t="s">
        <v>116</v>
      </c>
      <c r="E112" s="58"/>
      <c r="F112" s="59"/>
      <c r="G112" s="59"/>
      <c r="H112" s="26">
        <f t="shared" si="7"/>
        <v>0</v>
      </c>
      <c r="I112" s="35"/>
      <c r="J112" s="25"/>
    </row>
    <row r="113" spans="1:10" ht="21" x14ac:dyDescent="0.35">
      <c r="A113" s="19">
        <v>103</v>
      </c>
      <c r="B113" s="23"/>
      <c r="C113" s="24"/>
      <c r="D113" s="24" t="s">
        <v>117</v>
      </c>
      <c r="E113" s="60"/>
      <c r="F113" s="61"/>
      <c r="G113" s="61"/>
      <c r="H113" s="26">
        <f t="shared" si="7"/>
        <v>0</v>
      </c>
      <c r="I113" s="35"/>
      <c r="J113" s="25"/>
    </row>
    <row r="114" spans="1:10" ht="21" x14ac:dyDescent="0.35">
      <c r="A114" s="19">
        <v>104</v>
      </c>
      <c r="B114" s="23"/>
      <c r="C114" s="36"/>
      <c r="D114" s="24" t="s">
        <v>118</v>
      </c>
      <c r="E114" s="60"/>
      <c r="F114" s="61"/>
      <c r="G114" s="61"/>
      <c r="H114" s="26">
        <f t="shared" si="7"/>
        <v>0</v>
      </c>
      <c r="I114" s="35"/>
      <c r="J114" s="25"/>
    </row>
    <row r="115" spans="1:10" ht="21" x14ac:dyDescent="0.35">
      <c r="A115" s="19">
        <v>105</v>
      </c>
      <c r="B115" s="23"/>
      <c r="C115" s="23"/>
      <c r="D115" s="24" t="s">
        <v>119</v>
      </c>
      <c r="E115" s="60"/>
      <c r="F115" s="61"/>
      <c r="G115" s="61"/>
      <c r="H115" s="26">
        <f t="shared" si="7"/>
        <v>0</v>
      </c>
      <c r="I115" s="35"/>
      <c r="J115" s="25"/>
    </row>
    <row r="116" spans="1:10" ht="21" x14ac:dyDescent="0.35">
      <c r="A116" s="19">
        <v>106</v>
      </c>
      <c r="B116" s="23"/>
      <c r="C116" s="23"/>
      <c r="D116" s="24" t="s">
        <v>120</v>
      </c>
      <c r="E116" s="60"/>
      <c r="F116" s="61"/>
      <c r="G116" s="61"/>
      <c r="H116" s="26">
        <f t="shared" si="7"/>
        <v>0</v>
      </c>
      <c r="I116" s="35"/>
      <c r="J116" s="25"/>
    </row>
    <row r="117" spans="1:10" ht="21" x14ac:dyDescent="0.35">
      <c r="A117" s="19">
        <v>107</v>
      </c>
      <c r="B117" s="23"/>
      <c r="C117" s="23"/>
      <c r="D117" s="24" t="s">
        <v>121</v>
      </c>
      <c r="E117" s="60"/>
      <c r="F117" s="61"/>
      <c r="G117" s="61"/>
      <c r="H117" s="26">
        <f t="shared" si="7"/>
        <v>0</v>
      </c>
      <c r="I117" s="35"/>
      <c r="J117" s="25"/>
    </row>
    <row r="118" spans="1:10" ht="21" x14ac:dyDescent="0.35">
      <c r="A118" s="19">
        <v>108</v>
      </c>
      <c r="B118" s="23"/>
      <c r="C118" s="23"/>
      <c r="D118" s="24" t="s">
        <v>122</v>
      </c>
      <c r="E118" s="60"/>
      <c r="F118" s="61"/>
      <c r="G118" s="61"/>
      <c r="H118" s="26">
        <f t="shared" si="7"/>
        <v>0</v>
      </c>
      <c r="I118" s="35"/>
      <c r="J118" s="25"/>
    </row>
    <row r="119" spans="1:10" ht="21" x14ac:dyDescent="0.35">
      <c r="A119" s="19">
        <v>109</v>
      </c>
      <c r="B119" s="23"/>
      <c r="C119" s="23"/>
      <c r="D119" s="24" t="s">
        <v>123</v>
      </c>
      <c r="E119" s="60"/>
      <c r="F119" s="61"/>
      <c r="G119" s="61"/>
      <c r="H119" s="26">
        <f t="shared" si="7"/>
        <v>0</v>
      </c>
      <c r="I119" s="35"/>
      <c r="J119" s="25"/>
    </row>
    <row r="120" spans="1:10" ht="21" x14ac:dyDescent="0.35">
      <c r="A120" s="19">
        <v>110</v>
      </c>
      <c r="B120" s="23"/>
      <c r="C120" s="23"/>
      <c r="D120" s="24" t="s">
        <v>124</v>
      </c>
      <c r="E120" s="60"/>
      <c r="F120" s="61"/>
      <c r="G120" s="61"/>
      <c r="H120" s="26">
        <f t="shared" si="7"/>
        <v>0</v>
      </c>
      <c r="I120" s="35"/>
      <c r="J120" s="25"/>
    </row>
    <row r="121" spans="1:10" ht="21" x14ac:dyDescent="0.35">
      <c r="A121" s="19">
        <v>111</v>
      </c>
      <c r="B121" s="23"/>
      <c r="C121" s="23"/>
      <c r="D121" s="24" t="s">
        <v>125</v>
      </c>
      <c r="E121" s="60"/>
      <c r="F121" s="61"/>
      <c r="G121" s="61"/>
      <c r="H121" s="26">
        <f t="shared" si="7"/>
        <v>0</v>
      </c>
      <c r="I121" s="35"/>
      <c r="J121" s="25"/>
    </row>
    <row r="122" spans="1:10" ht="21" x14ac:dyDescent="0.35">
      <c r="A122" s="19">
        <v>112</v>
      </c>
      <c r="B122" s="23"/>
      <c r="C122" s="23"/>
      <c r="D122" s="24" t="s">
        <v>126</v>
      </c>
      <c r="E122" s="60"/>
      <c r="F122" s="61"/>
      <c r="G122" s="61"/>
      <c r="H122" s="26">
        <f t="shared" si="7"/>
        <v>0</v>
      </c>
      <c r="I122" s="25"/>
      <c r="J122" s="25"/>
    </row>
    <row r="123" spans="1:10" ht="21" x14ac:dyDescent="0.35">
      <c r="A123" s="19">
        <v>113</v>
      </c>
      <c r="B123" s="27" t="s">
        <v>127</v>
      </c>
      <c r="C123" s="27"/>
      <c r="D123" s="27"/>
      <c r="E123" s="60"/>
      <c r="F123" s="61"/>
      <c r="G123" s="61"/>
      <c r="H123" s="26">
        <f t="shared" si="7"/>
        <v>0</v>
      </c>
      <c r="I123" s="25"/>
      <c r="J123" s="25"/>
    </row>
    <row r="124" spans="1:10" ht="21" x14ac:dyDescent="0.35">
      <c r="A124" s="19">
        <v>114</v>
      </c>
      <c r="B124" s="23"/>
      <c r="C124" s="24"/>
      <c r="D124" s="37" t="s">
        <v>128</v>
      </c>
      <c r="E124" s="60"/>
      <c r="F124" s="61"/>
      <c r="G124" s="61"/>
      <c r="H124" s="26">
        <f t="shared" si="7"/>
        <v>0</v>
      </c>
      <c r="I124" s="25"/>
      <c r="J124" s="25"/>
    </row>
    <row r="125" spans="1:10" ht="21" x14ac:dyDescent="0.35">
      <c r="A125" s="19">
        <v>115</v>
      </c>
      <c r="B125" s="23"/>
      <c r="C125" s="24"/>
      <c r="D125" s="37" t="s">
        <v>129</v>
      </c>
      <c r="E125" s="60"/>
      <c r="F125" s="61"/>
      <c r="G125" s="61"/>
      <c r="H125" s="26">
        <f t="shared" si="7"/>
        <v>0</v>
      </c>
      <c r="I125" s="25"/>
      <c r="J125" s="25"/>
    </row>
    <row r="126" spans="1:10" ht="21" x14ac:dyDescent="0.35">
      <c r="A126" s="19">
        <v>116</v>
      </c>
      <c r="B126" s="23"/>
      <c r="C126" s="36"/>
      <c r="D126" s="37" t="s">
        <v>130</v>
      </c>
      <c r="E126" s="60"/>
      <c r="F126" s="61"/>
      <c r="G126" s="61"/>
      <c r="H126" s="26">
        <f t="shared" si="7"/>
        <v>0</v>
      </c>
      <c r="I126" s="25"/>
      <c r="J126" s="25"/>
    </row>
    <row r="127" spans="1:10" ht="21" x14ac:dyDescent="0.35">
      <c r="A127" s="19">
        <v>117</v>
      </c>
      <c r="B127" s="23"/>
      <c r="C127" s="23"/>
      <c r="D127" s="37" t="s">
        <v>131</v>
      </c>
      <c r="E127" s="60"/>
      <c r="F127" s="61"/>
      <c r="G127" s="61"/>
      <c r="H127" s="26">
        <f t="shared" si="7"/>
        <v>0</v>
      </c>
      <c r="I127" s="25"/>
      <c r="J127" s="25"/>
    </row>
    <row r="128" spans="1:10" ht="21" x14ac:dyDescent="0.35">
      <c r="A128" s="19">
        <v>118</v>
      </c>
      <c r="B128" s="23"/>
      <c r="C128" s="23"/>
      <c r="D128" s="37" t="s">
        <v>132</v>
      </c>
      <c r="E128" s="60"/>
      <c r="F128" s="61"/>
      <c r="G128" s="61"/>
      <c r="H128" s="26">
        <f t="shared" si="7"/>
        <v>0</v>
      </c>
      <c r="I128" s="25"/>
      <c r="J128" s="25"/>
    </row>
    <row r="129" spans="1:10" ht="21" x14ac:dyDescent="0.35">
      <c r="A129" s="19">
        <v>119</v>
      </c>
      <c r="B129" s="23"/>
      <c r="C129" s="23"/>
      <c r="D129" s="37" t="s">
        <v>133</v>
      </c>
      <c r="E129" s="60"/>
      <c r="F129" s="61"/>
      <c r="G129" s="61"/>
      <c r="H129" s="26">
        <f t="shared" si="7"/>
        <v>0</v>
      </c>
      <c r="I129" s="25"/>
      <c r="J129" s="25"/>
    </row>
    <row r="130" spans="1:10" ht="21" x14ac:dyDescent="0.35">
      <c r="A130" s="19">
        <v>120</v>
      </c>
      <c r="B130" s="23"/>
      <c r="C130" s="23"/>
      <c r="D130" s="37" t="s">
        <v>134</v>
      </c>
      <c r="E130" s="60"/>
      <c r="F130" s="61"/>
      <c r="G130" s="61"/>
      <c r="H130" s="26">
        <f t="shared" si="7"/>
        <v>0</v>
      </c>
      <c r="I130" s="25"/>
      <c r="J130" s="25"/>
    </row>
    <row r="131" spans="1:10" ht="21" x14ac:dyDescent="0.35">
      <c r="A131" s="19">
        <v>121</v>
      </c>
      <c r="B131" s="23"/>
      <c r="C131" s="23" t="s">
        <v>11</v>
      </c>
      <c r="D131" s="24" t="s">
        <v>135</v>
      </c>
      <c r="E131" s="60"/>
      <c r="F131" s="61"/>
      <c r="G131" s="61"/>
      <c r="H131" s="26">
        <f t="shared" si="7"/>
        <v>0</v>
      </c>
      <c r="I131" s="25"/>
      <c r="J131" s="25"/>
    </row>
    <row r="132" spans="1:10" ht="21" x14ac:dyDescent="0.35">
      <c r="A132" s="19">
        <v>122</v>
      </c>
      <c r="B132" s="23"/>
      <c r="C132" s="23" t="s">
        <v>5</v>
      </c>
      <c r="D132" s="24" t="s">
        <v>135</v>
      </c>
      <c r="E132" s="60"/>
      <c r="F132" s="61"/>
      <c r="G132" s="61"/>
      <c r="H132" s="26">
        <f t="shared" si="7"/>
        <v>0</v>
      </c>
      <c r="I132" s="25"/>
      <c r="J132" s="25"/>
    </row>
    <row r="133" spans="1:10" ht="21" x14ac:dyDescent="0.35">
      <c r="A133" s="19">
        <v>123</v>
      </c>
      <c r="B133" s="27" t="s">
        <v>136</v>
      </c>
      <c r="C133" s="27"/>
      <c r="D133" s="27"/>
      <c r="E133" s="62"/>
      <c r="F133" s="63"/>
      <c r="G133" s="63"/>
      <c r="H133" s="26">
        <f t="shared" si="7"/>
        <v>0</v>
      </c>
      <c r="I133" s="25"/>
      <c r="J133" s="25"/>
    </row>
    <row r="134" spans="1:10" ht="21" x14ac:dyDescent="0.35">
      <c r="A134" s="19">
        <v>124</v>
      </c>
      <c r="B134" s="23"/>
      <c r="C134" s="23" t="s">
        <v>5</v>
      </c>
      <c r="D134" s="24" t="s">
        <v>137</v>
      </c>
      <c r="E134" s="25"/>
      <c r="F134" s="35"/>
      <c r="G134" s="25"/>
      <c r="H134" s="26">
        <f t="shared" si="7"/>
        <v>0</v>
      </c>
      <c r="I134" s="25"/>
      <c r="J134" s="25"/>
    </row>
    <row r="135" spans="1:10" ht="21" x14ac:dyDescent="0.35">
      <c r="A135" s="19">
        <v>125</v>
      </c>
      <c r="B135" s="27" t="s">
        <v>138</v>
      </c>
      <c r="C135" s="27"/>
      <c r="D135" s="27"/>
      <c r="E135" s="25"/>
      <c r="F135" s="38"/>
      <c r="G135" s="25"/>
      <c r="H135" s="26">
        <f t="shared" si="7"/>
        <v>0</v>
      </c>
      <c r="I135" s="25"/>
      <c r="J135" s="25"/>
    </row>
    <row r="136" spans="1:10" ht="21" x14ac:dyDescent="0.35">
      <c r="A136" s="19">
        <v>126</v>
      </c>
      <c r="B136" s="1"/>
      <c r="C136" s="39" t="s">
        <v>139</v>
      </c>
      <c r="D136" s="40" t="s">
        <v>140</v>
      </c>
      <c r="E136" s="25"/>
      <c r="F136" s="41"/>
      <c r="G136" s="25"/>
      <c r="H136" s="26">
        <f t="shared" si="7"/>
        <v>0</v>
      </c>
      <c r="I136" s="25"/>
      <c r="J136" s="25"/>
    </row>
    <row r="137" spans="1:10" ht="21" x14ac:dyDescent="0.35">
      <c r="A137" s="19">
        <v>127</v>
      </c>
      <c r="B137" s="19"/>
      <c r="C137" s="42"/>
      <c r="D137" s="42" t="s">
        <v>141</v>
      </c>
      <c r="E137" s="58"/>
      <c r="F137" s="59"/>
      <c r="G137" s="59"/>
      <c r="H137" s="26">
        <f t="shared" si="7"/>
        <v>0</v>
      </c>
      <c r="I137" s="43"/>
      <c r="J137" s="25"/>
    </row>
    <row r="138" spans="1:10" ht="21" x14ac:dyDescent="0.35">
      <c r="A138" s="19">
        <v>128</v>
      </c>
      <c r="B138" s="19"/>
      <c r="C138" s="42"/>
      <c r="D138" s="42" t="s">
        <v>142</v>
      </c>
      <c r="E138" s="60"/>
      <c r="F138" s="61"/>
      <c r="G138" s="61"/>
      <c r="H138" s="26">
        <f t="shared" si="7"/>
        <v>0</v>
      </c>
      <c r="I138" s="43"/>
      <c r="J138" s="25"/>
    </row>
    <row r="139" spans="1:10" ht="21" x14ac:dyDescent="0.35">
      <c r="A139" s="19">
        <v>129</v>
      </c>
      <c r="B139" s="19"/>
      <c r="C139" s="42"/>
      <c r="D139" s="42" t="s">
        <v>143</v>
      </c>
      <c r="E139" s="60"/>
      <c r="F139" s="61"/>
      <c r="G139" s="61"/>
      <c r="H139" s="26">
        <f t="shared" ref="H139:H202" si="8">F139*1.4</f>
        <v>0</v>
      </c>
      <c r="I139" s="43"/>
      <c r="J139" s="25"/>
    </row>
    <row r="140" spans="1:10" ht="21" x14ac:dyDescent="0.35">
      <c r="A140" s="19">
        <v>130</v>
      </c>
      <c r="B140" s="19"/>
      <c r="C140" s="42"/>
      <c r="D140" s="42" t="s">
        <v>144</v>
      </c>
      <c r="E140" s="60"/>
      <c r="F140" s="61"/>
      <c r="G140" s="61"/>
      <c r="H140" s="26">
        <f t="shared" si="8"/>
        <v>0</v>
      </c>
      <c r="I140" s="43"/>
      <c r="J140" s="25"/>
    </row>
    <row r="141" spans="1:10" ht="21" x14ac:dyDescent="0.35">
      <c r="A141" s="19">
        <v>131</v>
      </c>
      <c r="B141" s="19"/>
      <c r="C141" s="42"/>
      <c r="D141" s="42" t="s">
        <v>145</v>
      </c>
      <c r="E141" s="60"/>
      <c r="F141" s="61"/>
      <c r="G141" s="61"/>
      <c r="H141" s="26">
        <f t="shared" si="8"/>
        <v>0</v>
      </c>
      <c r="I141" s="43"/>
      <c r="J141" s="25"/>
    </row>
    <row r="142" spans="1:10" ht="21" x14ac:dyDescent="0.35">
      <c r="A142" s="19">
        <v>132</v>
      </c>
      <c r="B142" s="19"/>
      <c r="C142" s="42"/>
      <c r="D142" s="42" t="s">
        <v>146</v>
      </c>
      <c r="E142" s="60"/>
      <c r="F142" s="61"/>
      <c r="G142" s="61"/>
      <c r="H142" s="26">
        <f t="shared" si="8"/>
        <v>0</v>
      </c>
      <c r="I142" s="43"/>
      <c r="J142" s="25"/>
    </row>
    <row r="143" spans="1:10" ht="21" x14ac:dyDescent="0.35">
      <c r="A143" s="19">
        <v>133</v>
      </c>
      <c r="B143" s="19"/>
      <c r="C143" s="42"/>
      <c r="D143" s="42" t="s">
        <v>147</v>
      </c>
      <c r="E143" s="60"/>
      <c r="F143" s="61"/>
      <c r="G143" s="61"/>
      <c r="H143" s="26">
        <f t="shared" si="8"/>
        <v>0</v>
      </c>
      <c r="I143" s="43"/>
      <c r="J143" s="25"/>
    </row>
    <row r="144" spans="1:10" ht="21" x14ac:dyDescent="0.35">
      <c r="A144" s="19">
        <v>134</v>
      </c>
      <c r="B144" s="19"/>
      <c r="C144" s="42"/>
      <c r="D144" s="42" t="s">
        <v>148</v>
      </c>
      <c r="E144" s="60"/>
      <c r="F144" s="61"/>
      <c r="G144" s="61"/>
      <c r="H144" s="26">
        <f t="shared" si="8"/>
        <v>0</v>
      </c>
      <c r="I144" s="43"/>
      <c r="J144" s="25"/>
    </row>
    <row r="145" spans="1:10" ht="21" x14ac:dyDescent="0.35">
      <c r="A145" s="19">
        <v>135</v>
      </c>
      <c r="B145" s="19"/>
      <c r="C145" s="42"/>
      <c r="D145" s="42" t="s">
        <v>149</v>
      </c>
      <c r="E145" s="60"/>
      <c r="F145" s="61"/>
      <c r="G145" s="61"/>
      <c r="H145" s="26">
        <f t="shared" si="8"/>
        <v>0</v>
      </c>
      <c r="I145" s="43"/>
      <c r="J145" s="25"/>
    </row>
    <row r="146" spans="1:10" ht="21" x14ac:dyDescent="0.35">
      <c r="A146" s="19">
        <v>136</v>
      </c>
      <c r="B146" s="19"/>
      <c r="C146" s="42"/>
      <c r="D146" s="42" t="s">
        <v>150</v>
      </c>
      <c r="E146" s="60"/>
      <c r="F146" s="61"/>
      <c r="G146" s="61"/>
      <c r="H146" s="26">
        <f t="shared" si="8"/>
        <v>0</v>
      </c>
      <c r="I146" s="43"/>
      <c r="J146" s="25"/>
    </row>
    <row r="147" spans="1:10" ht="21" x14ac:dyDescent="0.35">
      <c r="A147" s="19">
        <v>137</v>
      </c>
      <c r="B147" s="19"/>
      <c r="C147" s="42"/>
      <c r="D147" s="42" t="s">
        <v>151</v>
      </c>
      <c r="E147" s="62"/>
      <c r="F147" s="63"/>
      <c r="G147" s="63"/>
      <c r="H147" s="26">
        <f t="shared" si="8"/>
        <v>0</v>
      </c>
      <c r="I147" s="43"/>
      <c r="J147" s="25"/>
    </row>
    <row r="148" spans="1:10" ht="21" x14ac:dyDescent="0.35">
      <c r="A148" s="19">
        <v>138</v>
      </c>
      <c r="B148" s="27" t="s">
        <v>138</v>
      </c>
      <c r="C148" s="27"/>
      <c r="D148" s="27"/>
      <c r="E148" s="25"/>
      <c r="F148" s="38"/>
      <c r="G148" s="25"/>
      <c r="H148" s="26">
        <f t="shared" si="8"/>
        <v>0</v>
      </c>
      <c r="I148" s="25"/>
      <c r="J148" s="25"/>
    </row>
    <row r="149" spans="1:10" ht="21" x14ac:dyDescent="0.35">
      <c r="A149" s="19">
        <v>139</v>
      </c>
      <c r="B149" s="1"/>
      <c r="C149" s="39" t="s">
        <v>139</v>
      </c>
      <c r="D149" s="40" t="s">
        <v>152</v>
      </c>
      <c r="E149" s="25"/>
      <c r="F149" s="41"/>
      <c r="G149" s="25"/>
      <c r="H149" s="26">
        <f t="shared" si="8"/>
        <v>0</v>
      </c>
      <c r="I149" s="25"/>
      <c r="J149" s="25"/>
    </row>
    <row r="150" spans="1:10" ht="21" x14ac:dyDescent="0.35">
      <c r="A150" s="19">
        <v>140</v>
      </c>
      <c r="B150" s="19"/>
      <c r="C150" s="42"/>
      <c r="D150" s="42" t="s">
        <v>141</v>
      </c>
      <c r="E150" s="58"/>
      <c r="F150" s="59"/>
      <c r="G150" s="59"/>
      <c r="H150" s="26">
        <f t="shared" si="8"/>
        <v>0</v>
      </c>
      <c r="I150" s="43"/>
      <c r="J150" s="25"/>
    </row>
    <row r="151" spans="1:10" ht="21" x14ac:dyDescent="0.35">
      <c r="A151" s="19">
        <v>141</v>
      </c>
      <c r="B151" s="19"/>
      <c r="C151" s="42"/>
      <c r="D151" s="42" t="s">
        <v>142</v>
      </c>
      <c r="E151" s="60"/>
      <c r="F151" s="61"/>
      <c r="G151" s="61"/>
      <c r="H151" s="26">
        <f t="shared" si="8"/>
        <v>0</v>
      </c>
      <c r="I151" s="43"/>
      <c r="J151" s="25"/>
    </row>
    <row r="152" spans="1:10" ht="21" x14ac:dyDescent="0.35">
      <c r="A152" s="19">
        <v>142</v>
      </c>
      <c r="B152" s="19"/>
      <c r="C152" s="42"/>
      <c r="D152" s="42" t="s">
        <v>143</v>
      </c>
      <c r="E152" s="60"/>
      <c r="F152" s="61"/>
      <c r="G152" s="61"/>
      <c r="H152" s="26">
        <f t="shared" si="8"/>
        <v>0</v>
      </c>
      <c r="I152" s="43"/>
      <c r="J152" s="25"/>
    </row>
    <row r="153" spans="1:10" ht="21" x14ac:dyDescent="0.35">
      <c r="A153" s="19">
        <v>143</v>
      </c>
      <c r="B153" s="19"/>
      <c r="C153" s="42"/>
      <c r="D153" s="42" t="s">
        <v>144</v>
      </c>
      <c r="E153" s="60"/>
      <c r="F153" s="61"/>
      <c r="G153" s="61"/>
      <c r="H153" s="26">
        <f t="shared" si="8"/>
        <v>0</v>
      </c>
      <c r="I153" s="43"/>
      <c r="J153" s="25"/>
    </row>
    <row r="154" spans="1:10" ht="21" x14ac:dyDescent="0.35">
      <c r="A154" s="19">
        <v>144</v>
      </c>
      <c r="B154" s="19"/>
      <c r="C154" s="42"/>
      <c r="D154" s="42" t="s">
        <v>145</v>
      </c>
      <c r="E154" s="60"/>
      <c r="F154" s="61"/>
      <c r="G154" s="61"/>
      <c r="H154" s="26">
        <f t="shared" si="8"/>
        <v>0</v>
      </c>
      <c r="I154" s="43"/>
      <c r="J154" s="25"/>
    </row>
    <row r="155" spans="1:10" ht="21" x14ac:dyDescent="0.35">
      <c r="A155" s="19">
        <v>145</v>
      </c>
      <c r="B155" s="19"/>
      <c r="C155" s="42"/>
      <c r="D155" s="42" t="s">
        <v>146</v>
      </c>
      <c r="E155" s="60"/>
      <c r="F155" s="61"/>
      <c r="G155" s="61"/>
      <c r="H155" s="26">
        <f t="shared" si="8"/>
        <v>0</v>
      </c>
      <c r="I155" s="43"/>
      <c r="J155" s="25"/>
    </row>
    <row r="156" spans="1:10" ht="21" x14ac:dyDescent="0.35">
      <c r="A156" s="19">
        <v>146</v>
      </c>
      <c r="B156" s="19"/>
      <c r="C156" s="42"/>
      <c r="D156" s="42" t="s">
        <v>147</v>
      </c>
      <c r="E156" s="60"/>
      <c r="F156" s="61"/>
      <c r="G156" s="61"/>
      <c r="H156" s="26">
        <f t="shared" si="8"/>
        <v>0</v>
      </c>
      <c r="I156" s="43"/>
      <c r="J156" s="25"/>
    </row>
    <row r="157" spans="1:10" ht="21" x14ac:dyDescent="0.35">
      <c r="A157" s="19">
        <v>147</v>
      </c>
      <c r="B157" s="19"/>
      <c r="C157" s="42"/>
      <c r="D157" s="42" t="s">
        <v>148</v>
      </c>
      <c r="E157" s="60"/>
      <c r="F157" s="61"/>
      <c r="G157" s="61"/>
      <c r="H157" s="26">
        <f t="shared" si="8"/>
        <v>0</v>
      </c>
      <c r="I157" s="43"/>
      <c r="J157" s="25"/>
    </row>
    <row r="158" spans="1:10" ht="21" x14ac:dyDescent="0.35">
      <c r="A158" s="19">
        <v>148</v>
      </c>
      <c r="B158" s="19"/>
      <c r="C158" s="42"/>
      <c r="D158" s="42" t="s">
        <v>149</v>
      </c>
      <c r="E158" s="60"/>
      <c r="F158" s="61"/>
      <c r="G158" s="61"/>
      <c r="H158" s="26">
        <f t="shared" si="8"/>
        <v>0</v>
      </c>
      <c r="I158" s="43"/>
      <c r="J158" s="25"/>
    </row>
    <row r="159" spans="1:10" ht="21" x14ac:dyDescent="0.35">
      <c r="A159" s="19">
        <v>149</v>
      </c>
      <c r="B159" s="19"/>
      <c r="C159" s="42"/>
      <c r="D159" s="42" t="s">
        <v>150</v>
      </c>
      <c r="E159" s="60"/>
      <c r="F159" s="61"/>
      <c r="G159" s="61"/>
      <c r="H159" s="26">
        <f t="shared" si="8"/>
        <v>0</v>
      </c>
      <c r="I159" s="43"/>
      <c r="J159" s="25"/>
    </row>
    <row r="160" spans="1:10" ht="21" x14ac:dyDescent="0.35">
      <c r="A160" s="19">
        <v>150</v>
      </c>
      <c r="B160" s="19"/>
      <c r="C160" s="42"/>
      <c r="D160" s="42" t="s">
        <v>151</v>
      </c>
      <c r="E160" s="62"/>
      <c r="F160" s="63"/>
      <c r="G160" s="63"/>
      <c r="H160" s="26">
        <f t="shared" si="8"/>
        <v>0</v>
      </c>
      <c r="I160" s="43"/>
      <c r="J160" s="25"/>
    </row>
    <row r="161" spans="1:10" ht="21" x14ac:dyDescent="0.35">
      <c r="A161" s="19">
        <v>151</v>
      </c>
      <c r="B161" s="27" t="s">
        <v>153</v>
      </c>
      <c r="C161" s="27"/>
      <c r="D161" s="27"/>
      <c r="E161" s="25"/>
      <c r="F161" s="44"/>
      <c r="G161" s="25"/>
      <c r="H161" s="26">
        <f t="shared" si="8"/>
        <v>0</v>
      </c>
      <c r="I161" s="25"/>
      <c r="J161" s="25"/>
    </row>
    <row r="162" spans="1:10" ht="21" x14ac:dyDescent="0.35">
      <c r="A162" s="19">
        <v>152</v>
      </c>
      <c r="B162" s="23"/>
      <c r="C162" s="24"/>
      <c r="D162" s="37" t="s">
        <v>154</v>
      </c>
      <c r="E162" s="58"/>
      <c r="F162" s="59"/>
      <c r="G162" s="59"/>
      <c r="H162" s="26">
        <f t="shared" si="8"/>
        <v>0</v>
      </c>
      <c r="I162" s="25"/>
      <c r="J162" s="25"/>
    </row>
    <row r="163" spans="1:10" ht="21" x14ac:dyDescent="0.35">
      <c r="A163" s="19">
        <v>153</v>
      </c>
      <c r="B163" s="23"/>
      <c r="C163" s="24"/>
      <c r="D163" s="37" t="s">
        <v>155</v>
      </c>
      <c r="E163" s="60"/>
      <c r="F163" s="61"/>
      <c r="G163" s="61"/>
      <c r="H163" s="26">
        <f t="shared" si="8"/>
        <v>0</v>
      </c>
      <c r="I163" s="25"/>
      <c r="J163" s="25"/>
    </row>
    <row r="164" spans="1:10" ht="21" x14ac:dyDescent="0.35">
      <c r="A164" s="19">
        <v>154</v>
      </c>
      <c r="B164" s="23"/>
      <c r="C164" s="36"/>
      <c r="D164" s="37" t="s">
        <v>156</v>
      </c>
      <c r="E164" s="60"/>
      <c r="F164" s="61"/>
      <c r="G164" s="61"/>
      <c r="H164" s="26">
        <f t="shared" si="8"/>
        <v>0</v>
      </c>
      <c r="I164" s="25"/>
      <c r="J164" s="25"/>
    </row>
    <row r="165" spans="1:10" ht="21" x14ac:dyDescent="0.35">
      <c r="A165" s="19">
        <v>155</v>
      </c>
      <c r="B165" s="23"/>
      <c r="C165" s="36"/>
      <c r="D165" s="37" t="s">
        <v>157</v>
      </c>
      <c r="E165" s="60"/>
      <c r="F165" s="61"/>
      <c r="G165" s="61"/>
      <c r="H165" s="26">
        <f t="shared" si="8"/>
        <v>0</v>
      </c>
      <c r="I165" s="25"/>
      <c r="J165" s="25"/>
    </row>
    <row r="166" spans="1:10" ht="21" x14ac:dyDescent="0.35">
      <c r="A166" s="19">
        <v>156</v>
      </c>
      <c r="B166" s="23"/>
      <c r="C166" s="36"/>
      <c r="D166" s="37" t="s">
        <v>158</v>
      </c>
      <c r="E166" s="62"/>
      <c r="F166" s="63"/>
      <c r="G166" s="63"/>
      <c r="H166" s="26">
        <f t="shared" si="8"/>
        <v>0</v>
      </c>
      <c r="I166" s="25"/>
      <c r="J166" s="25"/>
    </row>
    <row r="167" spans="1:10" ht="21" x14ac:dyDescent="0.35">
      <c r="A167" s="19">
        <v>157</v>
      </c>
      <c r="B167" s="23"/>
      <c r="C167" s="36"/>
      <c r="D167" s="37"/>
      <c r="E167" s="25"/>
      <c r="F167" s="35"/>
      <c r="G167" s="25"/>
      <c r="H167" s="26">
        <f t="shared" si="8"/>
        <v>0</v>
      </c>
      <c r="I167" s="25"/>
      <c r="J167" s="25"/>
    </row>
    <row r="168" spans="1:10" ht="21" x14ac:dyDescent="0.35">
      <c r="A168" s="19">
        <v>158</v>
      </c>
      <c r="B168" s="27" t="s">
        <v>159</v>
      </c>
      <c r="C168" s="27"/>
      <c r="D168" s="27"/>
      <c r="E168" s="25"/>
      <c r="F168" s="44"/>
      <c r="G168" s="25"/>
      <c r="H168" s="26">
        <f t="shared" si="8"/>
        <v>0</v>
      </c>
      <c r="I168" s="25"/>
      <c r="J168" s="25"/>
    </row>
    <row r="169" spans="1:10" ht="21" x14ac:dyDescent="0.35">
      <c r="A169" s="19">
        <v>159</v>
      </c>
      <c r="B169" s="23"/>
      <c r="C169" s="24"/>
      <c r="D169" s="37" t="s">
        <v>160</v>
      </c>
      <c r="E169" s="58"/>
      <c r="F169" s="59"/>
      <c r="G169" s="59"/>
      <c r="H169" s="26">
        <f t="shared" si="8"/>
        <v>0</v>
      </c>
      <c r="I169" s="35"/>
      <c r="J169" s="25"/>
    </row>
    <row r="170" spans="1:10" ht="21" x14ac:dyDescent="0.35">
      <c r="A170" s="19">
        <v>160</v>
      </c>
      <c r="B170" s="23"/>
      <c r="C170" s="24"/>
      <c r="D170" s="37" t="s">
        <v>161</v>
      </c>
      <c r="E170" s="60"/>
      <c r="F170" s="61"/>
      <c r="G170" s="61"/>
      <c r="H170" s="26">
        <f t="shared" si="8"/>
        <v>0</v>
      </c>
      <c r="I170" s="35"/>
      <c r="J170" s="25"/>
    </row>
    <row r="171" spans="1:10" ht="21" x14ac:dyDescent="0.35">
      <c r="A171" s="19">
        <v>161</v>
      </c>
      <c r="B171" s="23"/>
      <c r="C171" s="24"/>
      <c r="D171" s="37" t="s">
        <v>162</v>
      </c>
      <c r="E171" s="60"/>
      <c r="F171" s="61"/>
      <c r="G171" s="61"/>
      <c r="H171" s="26">
        <f t="shared" si="8"/>
        <v>0</v>
      </c>
      <c r="I171" s="35"/>
      <c r="J171" s="25"/>
    </row>
    <row r="172" spans="1:10" ht="21" x14ac:dyDescent="0.35">
      <c r="A172" s="19">
        <v>162</v>
      </c>
      <c r="B172" s="23"/>
      <c r="C172" s="24"/>
      <c r="D172" s="37" t="s">
        <v>163</v>
      </c>
      <c r="E172" s="60"/>
      <c r="F172" s="61"/>
      <c r="G172" s="61"/>
      <c r="H172" s="26">
        <f t="shared" si="8"/>
        <v>0</v>
      </c>
      <c r="I172" s="35"/>
      <c r="J172" s="25"/>
    </row>
    <row r="173" spans="1:10" ht="21" x14ac:dyDescent="0.35">
      <c r="A173" s="19">
        <v>163</v>
      </c>
      <c r="B173" s="23"/>
      <c r="C173" s="24"/>
      <c r="D173" s="37" t="s">
        <v>164</v>
      </c>
      <c r="E173" s="60"/>
      <c r="F173" s="61"/>
      <c r="G173" s="61"/>
      <c r="H173" s="26">
        <f t="shared" si="8"/>
        <v>0</v>
      </c>
      <c r="I173" s="35"/>
      <c r="J173" s="25"/>
    </row>
    <row r="174" spans="1:10" ht="21" x14ac:dyDescent="0.35">
      <c r="A174" s="19">
        <v>164</v>
      </c>
      <c r="B174" s="23"/>
      <c r="C174" s="36"/>
      <c r="D174" s="37" t="s">
        <v>165</v>
      </c>
      <c r="E174" s="62"/>
      <c r="F174" s="63"/>
      <c r="G174" s="63"/>
      <c r="H174" s="26">
        <f t="shared" si="8"/>
        <v>0</v>
      </c>
      <c r="I174" s="35"/>
      <c r="J174" s="25"/>
    </row>
    <row r="175" spans="1:10" ht="21" x14ac:dyDescent="0.35">
      <c r="A175" s="19">
        <v>165</v>
      </c>
      <c r="B175" s="27" t="s">
        <v>166</v>
      </c>
      <c r="C175" s="27"/>
      <c r="D175" s="27"/>
      <c r="E175" s="25"/>
      <c r="F175" s="44"/>
      <c r="G175" s="25"/>
      <c r="H175" s="26">
        <f t="shared" si="8"/>
        <v>0</v>
      </c>
      <c r="I175" s="25"/>
      <c r="J175" s="25"/>
    </row>
    <row r="176" spans="1:10" ht="21" x14ac:dyDescent="0.35">
      <c r="A176" s="19">
        <v>166</v>
      </c>
      <c r="B176" s="23"/>
      <c r="C176" s="24"/>
      <c r="D176" s="37" t="s">
        <v>167</v>
      </c>
      <c r="E176" s="25"/>
      <c r="F176" s="35"/>
      <c r="G176" s="25"/>
      <c r="H176" s="26">
        <f t="shared" si="8"/>
        <v>0</v>
      </c>
      <c r="I176" s="35"/>
      <c r="J176" s="25"/>
    </row>
    <row r="177" spans="1:10" ht="21" x14ac:dyDescent="0.35">
      <c r="A177" s="19">
        <v>167</v>
      </c>
      <c r="B177" s="23"/>
      <c r="C177" s="24"/>
      <c r="D177" s="37" t="s">
        <v>168</v>
      </c>
      <c r="E177" s="25"/>
      <c r="F177" s="35"/>
      <c r="G177" s="25"/>
      <c r="H177" s="26">
        <f t="shared" si="8"/>
        <v>0</v>
      </c>
      <c r="I177" s="35"/>
      <c r="J177" s="25"/>
    </row>
    <row r="178" spans="1:10" ht="21" x14ac:dyDescent="0.35">
      <c r="A178" s="19">
        <v>168</v>
      </c>
      <c r="B178" s="23"/>
      <c r="C178" s="36"/>
      <c r="D178" s="37" t="s">
        <v>169</v>
      </c>
      <c r="E178" s="25"/>
      <c r="F178" s="35"/>
      <c r="G178" s="25"/>
      <c r="H178" s="26">
        <f t="shared" si="8"/>
        <v>0</v>
      </c>
      <c r="I178" s="35"/>
      <c r="J178" s="25"/>
    </row>
    <row r="179" spans="1:10" ht="21" x14ac:dyDescent="0.35">
      <c r="A179" s="19">
        <v>169</v>
      </c>
      <c r="B179" s="27" t="s">
        <v>170</v>
      </c>
      <c r="C179" s="27"/>
      <c r="D179" s="27"/>
      <c r="E179" s="25"/>
      <c r="F179" s="44"/>
      <c r="G179" s="25"/>
      <c r="H179" s="26">
        <f t="shared" si="8"/>
        <v>0</v>
      </c>
      <c r="I179" s="25"/>
      <c r="J179" s="25"/>
    </row>
    <row r="180" spans="1:10" ht="25.5" x14ac:dyDescent="0.35">
      <c r="A180" s="19">
        <v>170</v>
      </c>
      <c r="B180" s="23"/>
      <c r="C180" s="24"/>
      <c r="D180" s="37" t="s">
        <v>171</v>
      </c>
      <c r="E180" s="25"/>
      <c r="F180" s="35"/>
      <c r="G180" s="25"/>
      <c r="H180" s="26">
        <f t="shared" si="8"/>
        <v>0</v>
      </c>
      <c r="I180" s="25"/>
      <c r="J180" s="25"/>
    </row>
    <row r="181" spans="1:10" ht="25.5" x14ac:dyDescent="0.35">
      <c r="A181" s="19">
        <v>171</v>
      </c>
      <c r="B181" s="23"/>
      <c r="C181" s="24"/>
      <c r="D181" s="37" t="s">
        <v>172</v>
      </c>
      <c r="E181" s="25"/>
      <c r="F181" s="35"/>
      <c r="G181" s="25"/>
      <c r="H181" s="26">
        <f t="shared" si="8"/>
        <v>0</v>
      </c>
      <c r="I181" s="25"/>
      <c r="J181" s="25"/>
    </row>
    <row r="182" spans="1:10" ht="25.5" x14ac:dyDescent="0.35">
      <c r="A182" s="19">
        <v>172</v>
      </c>
      <c r="B182" s="23"/>
      <c r="C182" s="24"/>
      <c r="D182" s="37" t="s">
        <v>173</v>
      </c>
      <c r="E182" s="25"/>
      <c r="F182" s="35"/>
      <c r="G182" s="25"/>
      <c r="H182" s="26">
        <f t="shared" si="8"/>
        <v>0</v>
      </c>
      <c r="I182" s="25"/>
      <c r="J182" s="25"/>
    </row>
    <row r="183" spans="1:10" ht="25.5" x14ac:dyDescent="0.35">
      <c r="A183" s="19">
        <v>173</v>
      </c>
      <c r="B183" s="23"/>
      <c r="C183" s="24"/>
      <c r="D183" s="37" t="s">
        <v>174</v>
      </c>
      <c r="E183" s="25"/>
      <c r="F183" s="35"/>
      <c r="G183" s="25"/>
      <c r="H183" s="26">
        <f t="shared" si="8"/>
        <v>0</v>
      </c>
      <c r="I183" s="25"/>
      <c r="J183" s="25"/>
    </row>
    <row r="184" spans="1:10" ht="21" x14ac:dyDescent="0.35">
      <c r="A184" s="19">
        <v>174</v>
      </c>
      <c r="B184" s="19"/>
      <c r="C184" s="19"/>
      <c r="D184" s="19"/>
      <c r="E184" s="25"/>
      <c r="F184" s="45"/>
      <c r="G184" s="25"/>
      <c r="H184" s="26">
        <f t="shared" si="8"/>
        <v>0</v>
      </c>
      <c r="I184" s="25"/>
      <c r="J184" s="25"/>
    </row>
    <row r="185" spans="1:10" ht="21" x14ac:dyDescent="0.35">
      <c r="A185" s="19">
        <v>175</v>
      </c>
      <c r="B185" s="27" t="s">
        <v>175</v>
      </c>
      <c r="C185" s="27"/>
      <c r="D185" s="27"/>
      <c r="E185" s="25"/>
      <c r="F185" s="46"/>
      <c r="G185" s="25"/>
      <c r="H185" s="26">
        <f t="shared" si="8"/>
        <v>0</v>
      </c>
      <c r="I185" s="25"/>
      <c r="J185" s="25"/>
    </row>
    <row r="186" spans="1:10" ht="21" x14ac:dyDescent="0.35">
      <c r="A186" s="19">
        <v>176</v>
      </c>
      <c r="B186" s="47"/>
      <c r="C186" s="19"/>
      <c r="D186" s="48" t="s">
        <v>176</v>
      </c>
      <c r="E186" s="25">
        <v>325</v>
      </c>
      <c r="F186" s="45"/>
      <c r="G186" s="25"/>
      <c r="H186" s="26">
        <f t="shared" si="8"/>
        <v>0</v>
      </c>
      <c r="I186" s="25"/>
      <c r="J186" s="25"/>
    </row>
    <row r="187" spans="1:10" ht="21" x14ac:dyDescent="0.35">
      <c r="A187" s="19">
        <v>177</v>
      </c>
      <c r="B187" s="19"/>
      <c r="C187" s="19"/>
      <c r="D187" s="48" t="s">
        <v>177</v>
      </c>
      <c r="E187" s="25">
        <v>334</v>
      </c>
      <c r="F187" s="45"/>
      <c r="G187" s="25"/>
      <c r="H187" s="26">
        <f t="shared" si="8"/>
        <v>0</v>
      </c>
      <c r="I187" s="25"/>
      <c r="J187" s="25"/>
    </row>
    <row r="188" spans="1:10" ht="25.5" x14ac:dyDescent="0.35">
      <c r="A188" s="19">
        <v>178</v>
      </c>
      <c r="B188" s="19"/>
      <c r="C188" s="19"/>
      <c r="D188" s="48" t="s">
        <v>178</v>
      </c>
      <c r="E188" s="25">
        <v>349</v>
      </c>
      <c r="F188" s="45"/>
      <c r="G188" s="25"/>
      <c r="H188" s="26">
        <f t="shared" si="8"/>
        <v>0</v>
      </c>
      <c r="I188" s="25"/>
      <c r="J188" s="25"/>
    </row>
    <row r="189" spans="1:10" ht="21" x14ac:dyDescent="0.35">
      <c r="A189" s="19">
        <v>179</v>
      </c>
      <c r="B189" s="19"/>
      <c r="C189" s="19"/>
      <c r="D189" s="48" t="s">
        <v>179</v>
      </c>
      <c r="E189" s="25">
        <v>379</v>
      </c>
      <c r="F189" s="45"/>
      <c r="G189" s="25"/>
      <c r="H189" s="26">
        <f t="shared" si="8"/>
        <v>0</v>
      </c>
      <c r="I189" s="25"/>
      <c r="J189" s="25"/>
    </row>
    <row r="190" spans="1:10" ht="21" x14ac:dyDescent="0.35">
      <c r="A190" s="19">
        <v>180</v>
      </c>
      <c r="B190" s="19"/>
      <c r="C190" s="19"/>
      <c r="D190" s="48" t="s">
        <v>180</v>
      </c>
      <c r="E190" s="25">
        <v>421</v>
      </c>
      <c r="F190" s="45"/>
      <c r="G190" s="25"/>
      <c r="H190" s="26">
        <f t="shared" si="8"/>
        <v>0</v>
      </c>
      <c r="I190" s="25"/>
      <c r="J190" s="25"/>
    </row>
    <row r="191" spans="1:10" ht="21" x14ac:dyDescent="0.35">
      <c r="A191" s="19">
        <v>181</v>
      </c>
      <c r="B191" s="19"/>
      <c r="C191" s="19"/>
      <c r="D191" s="48" t="s">
        <v>181</v>
      </c>
      <c r="E191" s="25">
        <v>550</v>
      </c>
      <c r="F191" s="45"/>
      <c r="G191" s="25"/>
      <c r="H191" s="26">
        <f t="shared" si="8"/>
        <v>0</v>
      </c>
      <c r="I191" s="25"/>
      <c r="J191" s="25"/>
    </row>
    <row r="192" spans="1:10" ht="21" x14ac:dyDescent="0.35">
      <c r="A192" s="19"/>
      <c r="B192" s="19"/>
      <c r="C192" s="19"/>
      <c r="D192" s="48" t="s">
        <v>182</v>
      </c>
      <c r="E192" s="25">
        <v>750</v>
      </c>
      <c r="F192" s="45"/>
      <c r="G192" s="25"/>
      <c r="H192" s="26">
        <f t="shared" si="8"/>
        <v>0</v>
      </c>
      <c r="I192" s="25"/>
      <c r="J192" s="25"/>
    </row>
    <row r="193" spans="1:10" ht="21" x14ac:dyDescent="0.35">
      <c r="A193" s="19">
        <v>182</v>
      </c>
      <c r="B193" s="27" t="s">
        <v>183</v>
      </c>
      <c r="C193" s="27"/>
      <c r="D193" s="27"/>
      <c r="E193" s="25"/>
      <c r="F193" s="46"/>
      <c r="G193" s="25"/>
      <c r="H193" s="26">
        <f t="shared" si="8"/>
        <v>0</v>
      </c>
      <c r="I193" s="25"/>
      <c r="J193" s="25"/>
    </row>
    <row r="194" spans="1:10" ht="25.5" x14ac:dyDescent="0.35">
      <c r="A194" s="19">
        <v>183</v>
      </c>
      <c r="B194" s="19"/>
      <c r="C194" s="19"/>
      <c r="D194" s="48" t="s">
        <v>184</v>
      </c>
      <c r="E194" s="25"/>
      <c r="F194" s="45"/>
      <c r="G194" s="25"/>
      <c r="H194" s="26">
        <f t="shared" si="8"/>
        <v>0</v>
      </c>
      <c r="I194" s="25"/>
      <c r="J194" s="25"/>
    </row>
    <row r="195" spans="1:10" ht="25.5" x14ac:dyDescent="0.35">
      <c r="A195" s="19">
        <v>184</v>
      </c>
      <c r="B195" s="19"/>
      <c r="C195" s="19"/>
      <c r="D195" s="48" t="s">
        <v>185</v>
      </c>
      <c r="E195" s="25"/>
      <c r="F195" s="45"/>
      <c r="G195" s="25"/>
      <c r="H195" s="26">
        <f t="shared" si="8"/>
        <v>0</v>
      </c>
      <c r="I195" s="25"/>
      <c r="J195" s="25"/>
    </row>
    <row r="196" spans="1:10" ht="25.5" x14ac:dyDescent="0.35">
      <c r="A196" s="19">
        <v>185</v>
      </c>
      <c r="B196" s="19"/>
      <c r="C196" s="19"/>
      <c r="D196" s="48" t="s">
        <v>186</v>
      </c>
      <c r="E196" s="25"/>
      <c r="F196" s="45"/>
      <c r="G196" s="25"/>
      <c r="H196" s="26">
        <f t="shared" si="8"/>
        <v>0</v>
      </c>
      <c r="I196" s="25"/>
      <c r="J196" s="25"/>
    </row>
    <row r="197" spans="1:10" ht="25.5" x14ac:dyDescent="0.35">
      <c r="A197" s="19">
        <v>186</v>
      </c>
      <c r="B197" s="19"/>
      <c r="C197" s="19"/>
      <c r="D197" s="48" t="s">
        <v>187</v>
      </c>
      <c r="E197" s="25"/>
      <c r="F197" s="45"/>
      <c r="G197" s="25"/>
      <c r="H197" s="26">
        <f t="shared" si="8"/>
        <v>0</v>
      </c>
      <c r="I197" s="25"/>
      <c r="J197" s="25"/>
    </row>
    <row r="198" spans="1:10" ht="21" x14ac:dyDescent="0.35">
      <c r="A198" s="19">
        <v>187</v>
      </c>
      <c r="B198" s="27" t="s">
        <v>188</v>
      </c>
      <c r="C198" s="27"/>
      <c r="D198" s="27"/>
      <c r="E198" s="25"/>
      <c r="F198" s="45"/>
      <c r="G198" s="25"/>
      <c r="H198" s="26">
        <f t="shared" si="8"/>
        <v>0</v>
      </c>
      <c r="I198" s="25"/>
      <c r="J198" s="25"/>
    </row>
    <row r="199" spans="1:10" ht="21" x14ac:dyDescent="0.35">
      <c r="A199" s="19">
        <v>188</v>
      </c>
      <c r="B199" s="19"/>
      <c r="C199" s="19"/>
      <c r="D199" s="48" t="s">
        <v>189</v>
      </c>
      <c r="E199" s="25"/>
      <c r="F199" s="45"/>
      <c r="G199" s="25"/>
      <c r="H199" s="26">
        <f t="shared" si="8"/>
        <v>0</v>
      </c>
      <c r="I199" s="25"/>
      <c r="J199" s="25"/>
    </row>
    <row r="200" spans="1:10" ht="21" x14ac:dyDescent="0.35">
      <c r="A200" s="19">
        <v>189</v>
      </c>
      <c r="B200" s="19"/>
      <c r="C200" s="19"/>
      <c r="D200" s="19" t="s">
        <v>190</v>
      </c>
      <c r="E200" s="25"/>
      <c r="F200" s="45"/>
      <c r="G200" s="25"/>
      <c r="H200" s="26">
        <f t="shared" si="8"/>
        <v>0</v>
      </c>
      <c r="I200" s="25"/>
      <c r="J200" s="25"/>
    </row>
    <row r="201" spans="1:10" ht="21" x14ac:dyDescent="0.35">
      <c r="A201" s="19">
        <v>190</v>
      </c>
      <c r="B201" s="19"/>
      <c r="C201" s="19"/>
      <c r="D201" s="48" t="s">
        <v>191</v>
      </c>
      <c r="E201" s="25"/>
      <c r="F201" s="45"/>
      <c r="G201" s="25"/>
      <c r="H201" s="26">
        <f t="shared" si="8"/>
        <v>0</v>
      </c>
      <c r="I201" s="25"/>
      <c r="J201" s="25"/>
    </row>
    <row r="202" spans="1:10" ht="21" x14ac:dyDescent="0.35">
      <c r="A202" s="19">
        <v>191</v>
      </c>
      <c r="B202" s="19"/>
      <c r="C202" s="19"/>
      <c r="D202" s="49" t="s">
        <v>192</v>
      </c>
      <c r="E202" s="25"/>
      <c r="F202" s="45"/>
      <c r="G202" s="25"/>
      <c r="H202" s="26">
        <f t="shared" si="8"/>
        <v>0</v>
      </c>
      <c r="I202" s="25"/>
      <c r="J202" s="25"/>
    </row>
    <row r="203" spans="1:10" ht="21" x14ac:dyDescent="0.35">
      <c r="A203" s="19">
        <v>192</v>
      </c>
      <c r="B203" s="19"/>
      <c r="C203" s="19"/>
      <c r="D203" s="19" t="s">
        <v>193</v>
      </c>
      <c r="E203" s="25"/>
      <c r="F203" s="45"/>
      <c r="G203" s="25"/>
      <c r="H203" s="26">
        <f t="shared" ref="H203:H210" si="9">F203*1.4</f>
        <v>0</v>
      </c>
      <c r="I203" s="25"/>
      <c r="J203" s="25"/>
    </row>
    <row r="204" spans="1:10" ht="21" x14ac:dyDescent="0.35">
      <c r="A204" s="19">
        <v>193</v>
      </c>
      <c r="B204" s="19"/>
      <c r="C204" s="19"/>
      <c r="D204" s="19" t="s">
        <v>194</v>
      </c>
      <c r="E204" s="25"/>
      <c r="F204" s="45"/>
      <c r="G204" s="25"/>
      <c r="H204" s="26">
        <f t="shared" si="9"/>
        <v>0</v>
      </c>
      <c r="I204" s="25"/>
      <c r="J204" s="25"/>
    </row>
    <row r="205" spans="1:10" ht="21" x14ac:dyDescent="0.35">
      <c r="A205" s="19">
        <v>194</v>
      </c>
      <c r="B205" s="19"/>
      <c r="C205" s="19"/>
      <c r="D205" s="19" t="s">
        <v>195</v>
      </c>
      <c r="E205" s="25"/>
      <c r="F205" s="45"/>
      <c r="G205" s="25"/>
      <c r="H205" s="26">
        <f t="shared" si="9"/>
        <v>0</v>
      </c>
      <c r="I205" s="25"/>
      <c r="J205" s="25"/>
    </row>
    <row r="206" spans="1:10" ht="21" x14ac:dyDescent="0.35">
      <c r="A206" s="19">
        <v>195</v>
      </c>
      <c r="B206" s="19"/>
      <c r="C206" s="19"/>
      <c r="D206" s="19" t="s">
        <v>196</v>
      </c>
      <c r="E206" s="25"/>
      <c r="F206" s="45"/>
      <c r="G206" s="25"/>
      <c r="H206" s="26">
        <f t="shared" si="9"/>
        <v>0</v>
      </c>
      <c r="I206" s="25"/>
      <c r="J206" s="25"/>
    </row>
    <row r="207" spans="1:10" ht="21" x14ac:dyDescent="0.35">
      <c r="A207" s="19">
        <v>196</v>
      </c>
      <c r="B207" s="19"/>
      <c r="C207" s="19"/>
      <c r="D207" s="19" t="s">
        <v>197</v>
      </c>
      <c r="E207" s="25"/>
      <c r="F207" s="45"/>
      <c r="G207" s="25"/>
      <c r="H207" s="26">
        <f t="shared" si="9"/>
        <v>0</v>
      </c>
      <c r="I207" s="25"/>
      <c r="J207" s="25"/>
    </row>
    <row r="208" spans="1:10" ht="21" x14ac:dyDescent="0.35">
      <c r="A208" s="19">
        <v>197</v>
      </c>
      <c r="B208" s="19"/>
      <c r="C208" s="19"/>
      <c r="D208" s="19" t="s">
        <v>198</v>
      </c>
      <c r="E208" s="25"/>
      <c r="F208" s="45"/>
      <c r="G208" s="25"/>
      <c r="H208" s="26">
        <f t="shared" si="9"/>
        <v>0</v>
      </c>
      <c r="I208" s="25"/>
      <c r="J208" s="25"/>
    </row>
    <row r="209" spans="1:10" ht="21" x14ac:dyDescent="0.35">
      <c r="A209" s="19">
        <v>198</v>
      </c>
      <c r="B209" s="19"/>
      <c r="C209" s="19"/>
      <c r="D209" s="19"/>
      <c r="E209" s="19"/>
      <c r="F209" s="19"/>
      <c r="G209" s="50"/>
      <c r="H209" s="26">
        <f t="shared" si="9"/>
        <v>0</v>
      </c>
      <c r="I209" s="25"/>
      <c r="J209" s="50"/>
    </row>
    <row r="210" spans="1:10" ht="21" x14ac:dyDescent="0.35">
      <c r="A210" s="19">
        <v>199</v>
      </c>
      <c r="B210" s="19"/>
      <c r="C210" s="19"/>
      <c r="D210" s="19"/>
      <c r="E210" s="19"/>
      <c r="F210" s="19"/>
      <c r="G210" s="50"/>
      <c r="H210" s="26">
        <f t="shared" si="9"/>
        <v>0</v>
      </c>
      <c r="I210" s="25"/>
      <c r="J210" s="50"/>
    </row>
  </sheetData>
  <mergeCells count="44">
    <mergeCell ref="B198:D198"/>
    <mergeCell ref="B168:D168"/>
    <mergeCell ref="B175:D175"/>
    <mergeCell ref="B179:D179"/>
    <mergeCell ref="B185:D185"/>
    <mergeCell ref="B193:D193"/>
    <mergeCell ref="B135:D135"/>
    <mergeCell ref="B148:D148"/>
    <mergeCell ref="B161:D161"/>
    <mergeCell ref="B109:B110"/>
    <mergeCell ref="C109:C110"/>
    <mergeCell ref="D109:D110"/>
    <mergeCell ref="B111:D111"/>
    <mergeCell ref="B123:D123"/>
    <mergeCell ref="B133:D133"/>
    <mergeCell ref="B103:B105"/>
    <mergeCell ref="C103:C105"/>
    <mergeCell ref="D103:D105"/>
    <mergeCell ref="B107:B108"/>
    <mergeCell ref="C107:C108"/>
    <mergeCell ref="D107:D108"/>
    <mergeCell ref="C94:C96"/>
    <mergeCell ref="D94:D96"/>
    <mergeCell ref="B97:B99"/>
    <mergeCell ref="C97:C99"/>
    <mergeCell ref="D97:D99"/>
    <mergeCell ref="B100:B102"/>
    <mergeCell ref="C100:C102"/>
    <mergeCell ref="D100:D102"/>
    <mergeCell ref="B56:D56"/>
    <mergeCell ref="B60:D60"/>
    <mergeCell ref="B62:D62"/>
    <mergeCell ref="B75:D75"/>
    <mergeCell ref="B88:D88"/>
    <mergeCell ref="B91:B93"/>
    <mergeCell ref="C91:C93"/>
    <mergeCell ref="D91:D93"/>
    <mergeCell ref="B94:B96"/>
    <mergeCell ref="A5:D5"/>
    <mergeCell ref="B9:D9"/>
    <mergeCell ref="B30:D30"/>
    <mergeCell ref="B33:D33"/>
    <mergeCell ref="B46:D46"/>
    <mergeCell ref="B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Süleyman GÖKKAYA</dc:creator>
  <cp:lastModifiedBy>Süleyman GÖKKAYA</cp:lastModifiedBy>
  <dcterms:created xsi:type="dcterms:W3CDTF">2015-06-05T18:19:34Z</dcterms:created>
  <dcterms:modified xsi:type="dcterms:W3CDTF">2026-02-19T05:56:18Z</dcterms:modified>
</cp:coreProperties>
</file>